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02dar\Desktop\Università\UNIBO\FBE\"/>
    </mc:Choice>
  </mc:AlternateContent>
  <xr:revisionPtr revIDLastSave="0" documentId="8_{22922058-C15D-4C5A-B120-455160F1889E}" xr6:coauthVersionLast="47" xr6:coauthVersionMax="47" xr10:uidLastSave="{00000000-0000-0000-0000-000000000000}"/>
  <bookViews>
    <workbookView xWindow="-108" yWindow="-108" windowWidth="23256" windowHeight="12456" tabRatio="695" activeTab="4" xr2:uid="{00000000-000D-0000-FFFF-FFFF00000000}"/>
  </bookViews>
  <sheets>
    <sheet name="summary" sheetId="5" r:id="rId1"/>
    <sheet name="sec79" sheetId="3" r:id="rId2"/>
    <sheet name="sec95" sheetId="1" r:id="rId3"/>
    <sheet name="chainindex" sheetId="6" r:id="rId4"/>
    <sheet name="newbrowser" sheetId="1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9" i="5" l="1"/>
  <c r="A140" i="5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3" i="5" l="1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Q119" i="6"/>
  <c r="Q120" i="6"/>
  <c r="R120" i="6" s="1"/>
  <c r="Q121" i="6"/>
  <c r="Q122" i="6"/>
  <c r="Q123" i="6"/>
  <c r="Q124" i="6"/>
  <c r="R124" i="6"/>
  <c r="Q125" i="6"/>
  <c r="Q126" i="6"/>
  <c r="R126" i="6" s="1"/>
  <c r="Q127" i="6"/>
  <c r="R127" i="6" s="1"/>
  <c r="Q128" i="6"/>
  <c r="R128" i="6" s="1"/>
  <c r="Q129" i="6"/>
  <c r="Q130" i="6"/>
  <c r="Q131" i="6"/>
  <c r="Q132" i="6"/>
  <c r="R132" i="6"/>
  <c r="Q133" i="6"/>
  <c r="Q134" i="6"/>
  <c r="Q135" i="6"/>
  <c r="Q136" i="6"/>
  <c r="R136" i="6" s="1"/>
  <c r="Q137" i="6"/>
  <c r="Q138" i="6"/>
  <c r="Q47" i="6"/>
  <c r="Q48" i="6"/>
  <c r="Q49" i="6"/>
  <c r="Q50" i="6"/>
  <c r="Q51" i="6"/>
  <c r="Q52" i="6"/>
  <c r="R52" i="6"/>
  <c r="Q53" i="6"/>
  <c r="R53" i="6"/>
  <c r="Q54" i="6"/>
  <c r="Q55" i="6"/>
  <c r="Q56" i="6"/>
  <c r="R56" i="6"/>
  <c r="Q57" i="6"/>
  <c r="R57" i="6"/>
  <c r="Q58" i="6"/>
  <c r="R58" i="6"/>
  <c r="S58" i="6" s="1"/>
  <c r="Q59" i="6"/>
  <c r="Q60" i="6"/>
  <c r="Q61" i="6"/>
  <c r="Q62" i="6"/>
  <c r="Q63" i="6"/>
  <c r="Q64" i="6"/>
  <c r="Q65" i="6"/>
  <c r="Q66" i="6"/>
  <c r="R66" i="6"/>
  <c r="S66" i="6" s="1"/>
  <c r="Q67" i="6"/>
  <c r="Q68" i="6"/>
  <c r="R68" i="6"/>
  <c r="Q69" i="6"/>
  <c r="R69" i="6"/>
  <c r="Q70" i="6"/>
  <c r="Q71" i="6"/>
  <c r="Q72" i="6"/>
  <c r="Q73" i="6"/>
  <c r="R73" i="6" s="1"/>
  <c r="Q74" i="6"/>
  <c r="Q75" i="6"/>
  <c r="Q76" i="6"/>
  <c r="Q77" i="6"/>
  <c r="Q78" i="6"/>
  <c r="Q79" i="6"/>
  <c r="Q80" i="6"/>
  <c r="R80" i="6" s="1"/>
  <c r="Q81" i="6"/>
  <c r="Q82" i="6"/>
  <c r="Q83" i="6"/>
  <c r="Q84" i="6"/>
  <c r="Q85" i="6"/>
  <c r="R85" i="6" s="1"/>
  <c r="Q86" i="6"/>
  <c r="Q87" i="6"/>
  <c r="Q88" i="6"/>
  <c r="R88" i="6" s="1"/>
  <c r="Q89" i="6"/>
  <c r="Q90" i="6"/>
  <c r="Q91" i="6"/>
  <c r="Q92" i="6"/>
  <c r="R92" i="6"/>
  <c r="Q93" i="6"/>
  <c r="Q94" i="6"/>
  <c r="Q95" i="6"/>
  <c r="Q96" i="6"/>
  <c r="Q97" i="6"/>
  <c r="R97" i="6"/>
  <c r="Q98" i="6"/>
  <c r="R98" i="6"/>
  <c r="Q99" i="6"/>
  <c r="Q100" i="6"/>
  <c r="R100" i="6" s="1"/>
  <c r="Q101" i="6"/>
  <c r="Q102" i="6"/>
  <c r="Q103" i="6"/>
  <c r="Q104" i="6"/>
  <c r="Q105" i="6"/>
  <c r="R105" i="6" s="1"/>
  <c r="S105" i="6" s="1"/>
  <c r="Q106" i="6"/>
  <c r="R106" i="6"/>
  <c r="S106" i="6" s="1"/>
  <c r="Q107" i="6"/>
  <c r="Q108" i="6"/>
  <c r="Q109" i="6"/>
  <c r="R109" i="6" s="1"/>
  <c r="Q110" i="6"/>
  <c r="Q111" i="6"/>
  <c r="Q112" i="6"/>
  <c r="Q113" i="6"/>
  <c r="Q114" i="6"/>
  <c r="R114" i="6" s="1"/>
  <c r="Q115" i="6"/>
  <c r="Q116" i="6"/>
  <c r="Q117" i="6"/>
  <c r="R117" i="6" s="1"/>
  <c r="Q118" i="6"/>
  <c r="C46" i="6"/>
  <c r="AA42" i="1"/>
  <c r="AG42" i="1" s="1"/>
  <c r="U90" i="3"/>
  <c r="U89" i="3"/>
  <c r="U88" i="3"/>
  <c r="N84" i="3"/>
  <c r="N85" i="3" s="1"/>
  <c r="U87" i="3"/>
  <c r="U86" i="3"/>
  <c r="U85" i="3"/>
  <c r="U84" i="3"/>
  <c r="U83" i="3"/>
  <c r="U82" i="3"/>
  <c r="N82" i="3"/>
  <c r="L82" i="3"/>
  <c r="U81" i="3"/>
  <c r="N81" i="3"/>
  <c r="L81" i="3"/>
  <c r="U80" i="3"/>
  <c r="N80" i="3"/>
  <c r="L80" i="3"/>
  <c r="U79" i="3"/>
  <c r="N79" i="3"/>
  <c r="L79" i="3"/>
  <c r="F79" i="3"/>
  <c r="U78" i="3"/>
  <c r="N78" i="3"/>
  <c r="L78" i="3"/>
  <c r="F78" i="3"/>
  <c r="U77" i="3"/>
  <c r="N77" i="3"/>
  <c r="L77" i="3"/>
  <c r="F77" i="3"/>
  <c r="U76" i="3"/>
  <c r="N76" i="3"/>
  <c r="L76" i="3"/>
  <c r="F76" i="3"/>
  <c r="U75" i="3"/>
  <c r="N75" i="3"/>
  <c r="L75" i="3"/>
  <c r="F75" i="3"/>
  <c r="U74" i="3"/>
  <c r="N74" i="3"/>
  <c r="L74" i="3"/>
  <c r="F74" i="3"/>
  <c r="C74" i="3"/>
  <c r="U73" i="3"/>
  <c r="N73" i="3"/>
  <c r="L73" i="3"/>
  <c r="F73" i="3"/>
  <c r="G73" i="3"/>
  <c r="C73" i="3"/>
  <c r="U72" i="3"/>
  <c r="N72" i="3"/>
  <c r="L72" i="3"/>
  <c r="F72" i="3"/>
  <c r="C72" i="3"/>
  <c r="U71" i="3"/>
  <c r="N71" i="3"/>
  <c r="L71" i="3"/>
  <c r="F71" i="3"/>
  <c r="G71" i="3"/>
  <c r="C71" i="3"/>
  <c r="U70" i="3"/>
  <c r="N70" i="3"/>
  <c r="L70" i="3"/>
  <c r="F70" i="3"/>
  <c r="C70" i="3"/>
  <c r="U69" i="3"/>
  <c r="N69" i="3"/>
  <c r="L69" i="3"/>
  <c r="F69" i="3"/>
  <c r="G69" i="3"/>
  <c r="C69" i="3"/>
  <c r="U68" i="3"/>
  <c r="N68" i="3"/>
  <c r="L68" i="3"/>
  <c r="F68" i="3"/>
  <c r="C68" i="3"/>
  <c r="U67" i="3"/>
  <c r="N67" i="3"/>
  <c r="L67" i="3"/>
  <c r="F67" i="3"/>
  <c r="G67" i="3" s="1"/>
  <c r="C67" i="3"/>
  <c r="U66" i="3"/>
  <c r="N66" i="3"/>
  <c r="L66" i="3"/>
  <c r="F66" i="3"/>
  <c r="C66" i="3"/>
  <c r="U65" i="3"/>
  <c r="N65" i="3"/>
  <c r="L65" i="3"/>
  <c r="F65" i="3"/>
  <c r="G65" i="3" s="1"/>
  <c r="C65" i="3"/>
  <c r="U64" i="3"/>
  <c r="N64" i="3"/>
  <c r="L64" i="3"/>
  <c r="F64" i="3"/>
  <c r="C64" i="3"/>
  <c r="U63" i="3"/>
  <c r="N63" i="3"/>
  <c r="L63" i="3"/>
  <c r="F63" i="3"/>
  <c r="G63" i="3" s="1"/>
  <c r="C63" i="3"/>
  <c r="U62" i="3"/>
  <c r="N62" i="3"/>
  <c r="L62" i="3"/>
  <c r="F62" i="3"/>
  <c r="C62" i="3"/>
  <c r="U61" i="3"/>
  <c r="N61" i="3"/>
  <c r="L61" i="3"/>
  <c r="F61" i="3"/>
  <c r="G61" i="3" s="1"/>
  <c r="C61" i="3"/>
  <c r="U60" i="3"/>
  <c r="N60" i="3"/>
  <c r="L60" i="3"/>
  <c r="F60" i="3"/>
  <c r="C60" i="3"/>
  <c r="U59" i="3"/>
  <c r="N59" i="3"/>
  <c r="L59" i="3"/>
  <c r="F59" i="3"/>
  <c r="G59" i="3"/>
  <c r="C59" i="3"/>
  <c r="U58" i="3"/>
  <c r="N58" i="3"/>
  <c r="L58" i="3"/>
  <c r="F58" i="3"/>
  <c r="C58" i="3"/>
  <c r="U57" i="3"/>
  <c r="N57" i="3"/>
  <c r="L57" i="3"/>
  <c r="F57" i="3"/>
  <c r="G57" i="3"/>
  <c r="C57" i="3"/>
  <c r="U56" i="3"/>
  <c r="N56" i="3"/>
  <c r="L56" i="3"/>
  <c r="F56" i="3"/>
  <c r="C56" i="3"/>
  <c r="U55" i="3"/>
  <c r="N55" i="3"/>
  <c r="L55" i="3"/>
  <c r="F55" i="3"/>
  <c r="G55" i="3" s="1"/>
  <c r="C55" i="3"/>
  <c r="U54" i="3"/>
  <c r="N54" i="3"/>
  <c r="L54" i="3"/>
  <c r="F54" i="3"/>
  <c r="C54" i="3"/>
  <c r="U53" i="3"/>
  <c r="N53" i="3"/>
  <c r="L53" i="3"/>
  <c r="F53" i="3"/>
  <c r="G53" i="3"/>
  <c r="C53" i="3"/>
  <c r="U52" i="3"/>
  <c r="N52" i="3"/>
  <c r="L52" i="3"/>
  <c r="F52" i="3"/>
  <c r="C52" i="3"/>
  <c r="U51" i="3"/>
  <c r="N51" i="3"/>
  <c r="L51" i="3"/>
  <c r="F51" i="3"/>
  <c r="G51" i="3" s="1"/>
  <c r="C51" i="3"/>
  <c r="U50" i="3"/>
  <c r="N50" i="3"/>
  <c r="L50" i="3"/>
  <c r="F50" i="3"/>
  <c r="C50" i="3"/>
  <c r="U49" i="3"/>
  <c r="N49" i="3"/>
  <c r="L49" i="3"/>
  <c r="F49" i="3"/>
  <c r="G49" i="3" s="1"/>
  <c r="C49" i="3"/>
  <c r="U48" i="3"/>
  <c r="N48" i="3"/>
  <c r="L48" i="3"/>
  <c r="F48" i="3"/>
  <c r="C48" i="3"/>
  <c r="U47" i="3"/>
  <c r="N47" i="3"/>
  <c r="L47" i="3"/>
  <c r="F47" i="3"/>
  <c r="G47" i="3" s="1"/>
  <c r="C47" i="3"/>
  <c r="U46" i="3"/>
  <c r="N46" i="3"/>
  <c r="L46" i="3"/>
  <c r="F46" i="3"/>
  <c r="C46" i="3"/>
  <c r="U45" i="3"/>
  <c r="N45" i="3"/>
  <c r="L45" i="3"/>
  <c r="F45" i="3"/>
  <c r="G45" i="3"/>
  <c r="C45" i="3"/>
  <c r="U44" i="3"/>
  <c r="N44" i="3"/>
  <c r="L44" i="3"/>
  <c r="F44" i="3"/>
  <c r="C44" i="3"/>
  <c r="U43" i="3"/>
  <c r="N43" i="3"/>
  <c r="L43" i="3"/>
  <c r="F43" i="3"/>
  <c r="G43" i="3"/>
  <c r="C43" i="3"/>
  <c r="U42" i="3"/>
  <c r="N42" i="3"/>
  <c r="L42" i="3"/>
  <c r="F42" i="3"/>
  <c r="C42" i="3"/>
  <c r="U41" i="3"/>
  <c r="N41" i="3"/>
  <c r="L41" i="3"/>
  <c r="F41" i="3"/>
  <c r="G41" i="3"/>
  <c r="C41" i="3"/>
  <c r="U40" i="3"/>
  <c r="N40" i="3"/>
  <c r="L40" i="3"/>
  <c r="F40" i="3"/>
  <c r="C40" i="3"/>
  <c r="U39" i="3"/>
  <c r="N39" i="3"/>
  <c r="L39" i="3"/>
  <c r="F39" i="3"/>
  <c r="G39" i="3" s="1"/>
  <c r="C39" i="3"/>
  <c r="U38" i="3"/>
  <c r="N38" i="3"/>
  <c r="L38" i="3"/>
  <c r="F38" i="3"/>
  <c r="C38" i="3"/>
  <c r="U37" i="3"/>
  <c r="N37" i="3"/>
  <c r="L37" i="3"/>
  <c r="F37" i="3"/>
  <c r="G37" i="3"/>
  <c r="C37" i="3"/>
  <c r="U36" i="3"/>
  <c r="N36" i="3"/>
  <c r="L36" i="3"/>
  <c r="F36" i="3"/>
  <c r="C36" i="3"/>
  <c r="U35" i="3"/>
  <c r="N35" i="3"/>
  <c r="L35" i="3"/>
  <c r="F35" i="3"/>
  <c r="G35" i="3" s="1"/>
  <c r="C35" i="3"/>
  <c r="U34" i="3"/>
  <c r="N34" i="3"/>
  <c r="L34" i="3"/>
  <c r="F34" i="3"/>
  <c r="C34" i="3"/>
  <c r="U33" i="3"/>
  <c r="N33" i="3"/>
  <c r="L33" i="3"/>
  <c r="F33" i="3"/>
  <c r="G33" i="3" s="1"/>
  <c r="C33" i="3"/>
  <c r="U32" i="3"/>
  <c r="N32" i="3"/>
  <c r="L32" i="3"/>
  <c r="F32" i="3"/>
  <c r="C32" i="3"/>
  <c r="U31" i="3"/>
  <c r="N31" i="3"/>
  <c r="L31" i="3"/>
  <c r="F31" i="3"/>
  <c r="G31" i="3" s="1"/>
  <c r="C31" i="3"/>
  <c r="U30" i="3"/>
  <c r="N30" i="3"/>
  <c r="L30" i="3"/>
  <c r="F30" i="3"/>
  <c r="C30" i="3"/>
  <c r="U29" i="3"/>
  <c r="N29" i="3"/>
  <c r="L29" i="3"/>
  <c r="F29" i="3"/>
  <c r="G29" i="3"/>
  <c r="C29" i="3"/>
  <c r="U28" i="3"/>
  <c r="N28" i="3"/>
  <c r="L28" i="3"/>
  <c r="F28" i="3"/>
  <c r="C28" i="3"/>
  <c r="U27" i="3"/>
  <c r="N27" i="3"/>
  <c r="L27" i="3"/>
  <c r="F27" i="3"/>
  <c r="G27" i="3"/>
  <c r="C27" i="3"/>
  <c r="U26" i="3"/>
  <c r="N26" i="3"/>
  <c r="L26" i="3"/>
  <c r="F26" i="3"/>
  <c r="C26" i="3"/>
  <c r="U25" i="3"/>
  <c r="N25" i="3"/>
  <c r="L25" i="3"/>
  <c r="F25" i="3"/>
  <c r="G25" i="3"/>
  <c r="C25" i="3"/>
  <c r="U24" i="3"/>
  <c r="N24" i="3"/>
  <c r="L24" i="3"/>
  <c r="F24" i="3"/>
  <c r="C24" i="3"/>
  <c r="U23" i="3"/>
  <c r="N23" i="3"/>
  <c r="L23" i="3"/>
  <c r="F23" i="3"/>
  <c r="G23" i="3"/>
  <c r="C23" i="3"/>
  <c r="U22" i="3"/>
  <c r="N22" i="3"/>
  <c r="L22" i="3"/>
  <c r="F22" i="3"/>
  <c r="C22" i="3"/>
  <c r="U21" i="3"/>
  <c r="N21" i="3"/>
  <c r="L21" i="3"/>
  <c r="F21" i="3"/>
  <c r="G21" i="3"/>
  <c r="C21" i="3"/>
  <c r="U20" i="3"/>
  <c r="N20" i="3"/>
  <c r="L20" i="3"/>
  <c r="F20" i="3"/>
  <c r="C20" i="3"/>
  <c r="U19" i="3"/>
  <c r="N19" i="3"/>
  <c r="L19" i="3"/>
  <c r="F19" i="3"/>
  <c r="G19" i="3" s="1"/>
  <c r="C19" i="3"/>
  <c r="U18" i="3"/>
  <c r="N18" i="3"/>
  <c r="L18" i="3"/>
  <c r="F18" i="3"/>
  <c r="C18" i="3"/>
  <c r="U17" i="3"/>
  <c r="N17" i="3"/>
  <c r="L17" i="3"/>
  <c r="F17" i="3"/>
  <c r="G17" i="3" s="1"/>
  <c r="C17" i="3"/>
  <c r="U16" i="3"/>
  <c r="N16" i="3"/>
  <c r="L16" i="3"/>
  <c r="F16" i="3"/>
  <c r="C16" i="3"/>
  <c r="U15" i="3"/>
  <c r="N15" i="3"/>
  <c r="L15" i="3"/>
  <c r="F15" i="3"/>
  <c r="G15" i="3" s="1"/>
  <c r="C15" i="3"/>
  <c r="U14" i="3"/>
  <c r="N14" i="3"/>
  <c r="L14" i="3"/>
  <c r="F14" i="3"/>
  <c r="C14" i="3"/>
  <c r="U13" i="3"/>
  <c r="N13" i="3"/>
  <c r="L13" i="3"/>
  <c r="F13" i="3"/>
  <c r="G13" i="3" s="1"/>
  <c r="C13" i="3"/>
  <c r="U12" i="3"/>
  <c r="N12" i="3"/>
  <c r="L12" i="3"/>
  <c r="F12" i="3"/>
  <c r="C12" i="3"/>
  <c r="U11" i="3"/>
  <c r="N11" i="3"/>
  <c r="L11" i="3"/>
  <c r="F11" i="3"/>
  <c r="G11" i="3"/>
  <c r="C11" i="3"/>
  <c r="U10" i="3"/>
  <c r="N10" i="3"/>
  <c r="L10" i="3"/>
  <c r="F10" i="3"/>
  <c r="C10" i="3"/>
  <c r="U9" i="3"/>
  <c r="N9" i="3"/>
  <c r="L9" i="3"/>
  <c r="F9" i="3"/>
  <c r="G9" i="3"/>
  <c r="C9" i="3"/>
  <c r="U8" i="3"/>
  <c r="N8" i="3"/>
  <c r="L8" i="3"/>
  <c r="F8" i="3"/>
  <c r="C8" i="3"/>
  <c r="U7" i="3"/>
  <c r="N7" i="3"/>
  <c r="L7" i="3"/>
  <c r="F7" i="3"/>
  <c r="G7" i="3"/>
  <c r="C7" i="3"/>
  <c r="U6" i="3"/>
  <c r="N6" i="3"/>
  <c r="L6" i="3"/>
  <c r="F6" i="3"/>
  <c r="C6" i="3"/>
  <c r="U5" i="3"/>
  <c r="N5" i="3"/>
  <c r="L5" i="3"/>
  <c r="F5" i="3"/>
  <c r="G5" i="3"/>
  <c r="C5" i="3"/>
  <c r="U4" i="3"/>
  <c r="N4" i="3"/>
  <c r="L4" i="3"/>
  <c r="F4" i="3"/>
  <c r="C4" i="3"/>
  <c r="U3" i="3"/>
  <c r="N3" i="3"/>
  <c r="L3" i="3"/>
  <c r="F3" i="3"/>
  <c r="G3" i="3" s="1"/>
  <c r="C3" i="3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C42" i="1"/>
  <c r="AD42" i="1"/>
  <c r="J102" i="1"/>
  <c r="D46" i="6" l="1"/>
  <c r="S114" i="6"/>
  <c r="R93" i="6"/>
  <c r="R81" i="6"/>
  <c r="R76" i="6"/>
  <c r="S76" i="6" s="1"/>
  <c r="R64" i="6"/>
  <c r="R122" i="6"/>
  <c r="R101" i="6"/>
  <c r="S97" i="6"/>
  <c r="R89" i="6"/>
  <c r="R84" i="6"/>
  <c r="R72" i="6"/>
  <c r="S72" i="6" s="1"/>
  <c r="R49" i="6"/>
  <c r="R130" i="6"/>
  <c r="C45" i="6"/>
  <c r="R113" i="6"/>
  <c r="R108" i="6"/>
  <c r="R96" i="6"/>
  <c r="S96" i="6" s="1"/>
  <c r="R74" i="6"/>
  <c r="R61" i="6"/>
  <c r="S57" i="6"/>
  <c r="R134" i="6"/>
  <c r="R116" i="6"/>
  <c r="S116" i="6" s="1"/>
  <c r="R104" i="6"/>
  <c r="R82" i="6"/>
  <c r="R119" i="6"/>
  <c r="R112" i="6"/>
  <c r="S98" i="6"/>
  <c r="R90" i="6"/>
  <c r="R77" i="6"/>
  <c r="S73" i="6"/>
  <c r="R65" i="6"/>
  <c r="R60" i="6"/>
  <c r="S60" i="6" s="1"/>
  <c r="R138" i="6"/>
  <c r="R123" i="6"/>
  <c r="AH42" i="1"/>
  <c r="G4" i="3"/>
  <c r="G20" i="3"/>
  <c r="G36" i="3"/>
  <c r="G52" i="3"/>
  <c r="G68" i="3"/>
  <c r="R133" i="6"/>
  <c r="G10" i="3"/>
  <c r="G26" i="3"/>
  <c r="G42" i="3"/>
  <c r="G58" i="3"/>
  <c r="G74" i="3"/>
  <c r="G16" i="3"/>
  <c r="G32" i="3"/>
  <c r="G48" i="3"/>
  <c r="G64" i="3"/>
  <c r="S117" i="6"/>
  <c r="S109" i="6"/>
  <c r="S85" i="6"/>
  <c r="S77" i="6"/>
  <c r="S69" i="6"/>
  <c r="S61" i="6"/>
  <c r="S53" i="6"/>
  <c r="R137" i="6"/>
  <c r="G6" i="3"/>
  <c r="G22" i="3"/>
  <c r="G38" i="3"/>
  <c r="G54" i="3"/>
  <c r="G70" i="3"/>
  <c r="G12" i="3"/>
  <c r="G28" i="3"/>
  <c r="G44" i="3"/>
  <c r="G60" i="3"/>
  <c r="R121" i="6"/>
  <c r="G18" i="3"/>
  <c r="G34" i="3"/>
  <c r="G50" i="3"/>
  <c r="G66" i="3"/>
  <c r="R48" i="6"/>
  <c r="R125" i="6"/>
  <c r="G8" i="3"/>
  <c r="G24" i="3"/>
  <c r="G40" i="3"/>
  <c r="G56" i="3"/>
  <c r="AA41" i="1"/>
  <c r="AF42" i="1"/>
  <c r="AB42" i="1"/>
  <c r="AE42" i="1"/>
  <c r="S112" i="6"/>
  <c r="S104" i="6"/>
  <c r="S88" i="6"/>
  <c r="S80" i="6"/>
  <c r="S64" i="6"/>
  <c r="S56" i="6"/>
  <c r="R129" i="6"/>
  <c r="J101" i="1"/>
  <c r="G14" i="3"/>
  <c r="G30" i="3"/>
  <c r="G46" i="3"/>
  <c r="G62" i="3"/>
  <c r="N86" i="3"/>
  <c r="R115" i="6"/>
  <c r="R107" i="6"/>
  <c r="R99" i="6"/>
  <c r="R91" i="6"/>
  <c r="R83" i="6"/>
  <c r="R75" i="6"/>
  <c r="R67" i="6"/>
  <c r="R59" i="6"/>
  <c r="R51" i="6"/>
  <c r="R50" i="6"/>
  <c r="G72" i="3"/>
  <c r="R111" i="6"/>
  <c r="R103" i="6"/>
  <c r="S100" i="6"/>
  <c r="R95" i="6"/>
  <c r="S92" i="6"/>
  <c r="R87" i="6"/>
  <c r="S84" i="6"/>
  <c r="R79" i="6"/>
  <c r="R71" i="6"/>
  <c r="S68" i="6"/>
  <c r="R63" i="6"/>
  <c r="R55" i="6"/>
  <c r="S52" i="6"/>
  <c r="R47" i="6"/>
  <c r="R135" i="6"/>
  <c r="R131" i="6"/>
  <c r="R118" i="6"/>
  <c r="R110" i="6"/>
  <c r="R102" i="6"/>
  <c r="R94" i="6"/>
  <c r="R86" i="6"/>
  <c r="R78" i="6"/>
  <c r="R70" i="6"/>
  <c r="R62" i="6"/>
  <c r="R54" i="6"/>
  <c r="D45" i="6" l="1"/>
  <c r="C44" i="6"/>
  <c r="S65" i="6"/>
  <c r="S113" i="6"/>
  <c r="S93" i="6"/>
  <c r="S108" i="6"/>
  <c r="S101" i="6"/>
  <c r="S90" i="6"/>
  <c r="S49" i="6"/>
  <c r="S81" i="6"/>
  <c r="S74" i="6"/>
  <c r="S89" i="6"/>
  <c r="S82" i="6"/>
  <c r="E46" i="6"/>
  <c r="S79" i="6"/>
  <c r="S83" i="6"/>
  <c r="S110" i="6"/>
  <c r="S63" i="6"/>
  <c r="S54" i="6"/>
  <c r="S86" i="6"/>
  <c r="S118" i="6"/>
  <c r="S87" i="6"/>
  <c r="S107" i="6"/>
  <c r="J100" i="1"/>
  <c r="S103" i="6"/>
  <c r="S47" i="6"/>
  <c r="S111" i="6"/>
  <c r="S50" i="6"/>
  <c r="S67" i="6"/>
  <c r="S99" i="6"/>
  <c r="AC41" i="1"/>
  <c r="AF41" i="1"/>
  <c r="AB41" i="1"/>
  <c r="AG41" i="1"/>
  <c r="AA40" i="1"/>
  <c r="AD41" i="1"/>
  <c r="AE41" i="1"/>
  <c r="S48" i="6"/>
  <c r="S94" i="6"/>
  <c r="S71" i="6"/>
  <c r="S91" i="6"/>
  <c r="N87" i="3"/>
  <c r="S59" i="6"/>
  <c r="S95" i="6"/>
  <c r="S51" i="6"/>
  <c r="S115" i="6"/>
  <c r="AJ42" i="1"/>
  <c r="AI42" i="1"/>
  <c r="AK42" i="1"/>
  <c r="S78" i="6"/>
  <c r="S62" i="6"/>
  <c r="S70" i="6"/>
  <c r="S102" i="6"/>
  <c r="S55" i="6"/>
  <c r="S75" i="6"/>
  <c r="F46" i="6" l="1"/>
  <c r="C43" i="6"/>
  <c r="D44" i="6"/>
  <c r="E45" i="6"/>
  <c r="N88" i="3"/>
  <c r="C42" i="6"/>
  <c r="T118" i="6"/>
  <c r="J99" i="1"/>
  <c r="AH41" i="1"/>
  <c r="AG40" i="1"/>
  <c r="AF40" i="1"/>
  <c r="AB40" i="1"/>
  <c r="AA39" i="1"/>
  <c r="AC40" i="1"/>
  <c r="AD40" i="1"/>
  <c r="AE40" i="1"/>
  <c r="G46" i="6" l="1"/>
  <c r="D43" i="6"/>
  <c r="D42" i="6" s="1"/>
  <c r="E44" i="6"/>
  <c r="F45" i="6"/>
  <c r="U118" i="6"/>
  <c r="T117" i="6"/>
  <c r="J98" i="1"/>
  <c r="AH40" i="1"/>
  <c r="AI41" i="1"/>
  <c r="AK41" i="1"/>
  <c r="AJ41" i="1"/>
  <c r="AA38" i="1"/>
  <c r="AB39" i="1"/>
  <c r="AC39" i="1"/>
  <c r="AF39" i="1"/>
  <c r="AD39" i="1"/>
  <c r="AE39" i="1"/>
  <c r="AG39" i="1"/>
  <c r="F44" i="6" l="1"/>
  <c r="H46" i="6"/>
  <c r="G45" i="6"/>
  <c r="E43" i="6"/>
  <c r="AI40" i="1"/>
  <c r="AK40" i="1"/>
  <c r="AJ40" i="1"/>
  <c r="AD38" i="1"/>
  <c r="AA37" i="1"/>
  <c r="AG38" i="1"/>
  <c r="AC38" i="1"/>
  <c r="AB38" i="1"/>
  <c r="AE38" i="1"/>
  <c r="AF38" i="1"/>
  <c r="T116" i="6"/>
  <c r="C41" i="6"/>
  <c r="J97" i="1"/>
  <c r="AH39" i="1"/>
  <c r="U117" i="6"/>
  <c r="V118" i="6"/>
  <c r="I46" i="6" l="1"/>
  <c r="F43" i="6"/>
  <c r="E42" i="6"/>
  <c r="F42" i="6" s="1"/>
  <c r="H45" i="6"/>
  <c r="G44" i="6"/>
  <c r="T115" i="6"/>
  <c r="J96" i="1"/>
  <c r="U116" i="6"/>
  <c r="AH38" i="1"/>
  <c r="D41" i="6"/>
  <c r="AB37" i="1"/>
  <c r="AG37" i="1"/>
  <c r="AF37" i="1"/>
  <c r="AA36" i="1"/>
  <c r="AD37" i="1"/>
  <c r="AE37" i="1"/>
  <c r="AC37" i="1"/>
  <c r="V117" i="6"/>
  <c r="W118" i="6"/>
  <c r="AI39" i="1"/>
  <c r="AK39" i="1"/>
  <c r="AJ39" i="1"/>
  <c r="C40" i="6"/>
  <c r="J46" i="6" l="1"/>
  <c r="H44" i="6"/>
  <c r="I45" i="6"/>
  <c r="G43" i="6"/>
  <c r="G42" i="6" s="1"/>
  <c r="AA35" i="1"/>
  <c r="AB36" i="1"/>
  <c r="AC36" i="1"/>
  <c r="AF36" i="1"/>
  <c r="AG36" i="1"/>
  <c r="AD36" i="1"/>
  <c r="AE36" i="1"/>
  <c r="AJ38" i="1"/>
  <c r="AI38" i="1"/>
  <c r="AK38" i="1"/>
  <c r="C39" i="6"/>
  <c r="U115" i="6"/>
  <c r="W117" i="6"/>
  <c r="X118" i="6"/>
  <c r="V116" i="6"/>
  <c r="AH37" i="1"/>
  <c r="J95" i="1"/>
  <c r="T114" i="6"/>
  <c r="D40" i="6"/>
  <c r="E41" i="6"/>
  <c r="H43" i="6" l="1"/>
  <c r="J45" i="6"/>
  <c r="I44" i="6"/>
  <c r="K46" i="6"/>
  <c r="U114" i="6"/>
  <c r="AC35" i="1"/>
  <c r="AA34" i="1"/>
  <c r="AG35" i="1"/>
  <c r="AB35" i="1"/>
  <c r="AD35" i="1"/>
  <c r="AE35" i="1"/>
  <c r="AF35" i="1"/>
  <c r="T113" i="6"/>
  <c r="W116" i="6"/>
  <c r="D39" i="6"/>
  <c r="Y118" i="6"/>
  <c r="X117" i="6"/>
  <c r="J94" i="1"/>
  <c r="F41" i="6"/>
  <c r="AH36" i="1"/>
  <c r="E40" i="6"/>
  <c r="V115" i="6"/>
  <c r="AK37" i="1"/>
  <c r="AI37" i="1"/>
  <c r="AJ37" i="1"/>
  <c r="C38" i="6"/>
  <c r="I43" i="6" l="1"/>
  <c r="H42" i="6"/>
  <c r="I42" i="6" s="1"/>
  <c r="J44" i="6"/>
  <c r="K45" i="6"/>
  <c r="L46" i="6"/>
  <c r="W115" i="6"/>
  <c r="F40" i="6"/>
  <c r="V114" i="6"/>
  <c r="U113" i="6"/>
  <c r="J93" i="1"/>
  <c r="E39" i="6"/>
  <c r="D38" i="6"/>
  <c r="X116" i="6"/>
  <c r="AH35" i="1"/>
  <c r="G41" i="6"/>
  <c r="AI36" i="1"/>
  <c r="AJ36" i="1"/>
  <c r="AK36" i="1"/>
  <c r="Z118" i="6"/>
  <c r="Y117" i="6"/>
  <c r="T112" i="6"/>
  <c r="AG34" i="1"/>
  <c r="AD34" i="1"/>
  <c r="AE34" i="1"/>
  <c r="AA33" i="1"/>
  <c r="AC34" i="1"/>
  <c r="AF34" i="1"/>
  <c r="AB34" i="1"/>
  <c r="C37" i="6"/>
  <c r="M46" i="6" l="1"/>
  <c r="L45" i="6"/>
  <c r="J43" i="6"/>
  <c r="K44" i="6"/>
  <c r="T111" i="6"/>
  <c r="J92" i="1"/>
  <c r="U112" i="6"/>
  <c r="V113" i="6"/>
  <c r="D37" i="6"/>
  <c r="X115" i="6"/>
  <c r="AE33" i="1"/>
  <c r="AG33" i="1"/>
  <c r="AD33" i="1"/>
  <c r="AB33" i="1"/>
  <c r="AF33" i="1"/>
  <c r="AA32" i="1"/>
  <c r="AC33" i="1"/>
  <c r="Y116" i="6"/>
  <c r="AH34" i="1"/>
  <c r="C36" i="6"/>
  <c r="Z117" i="6"/>
  <c r="AA118" i="6"/>
  <c r="H41" i="6"/>
  <c r="E38" i="6"/>
  <c r="F39" i="6"/>
  <c r="G40" i="6"/>
  <c r="AI35" i="1"/>
  <c r="AK35" i="1"/>
  <c r="AJ35" i="1"/>
  <c r="J42" i="6"/>
  <c r="W114" i="6"/>
  <c r="N46" i="6" l="1"/>
  <c r="M45" i="6"/>
  <c r="L44" i="6"/>
  <c r="K43" i="6"/>
  <c r="K42" i="6" s="1"/>
  <c r="AH33" i="1"/>
  <c r="U111" i="6"/>
  <c r="T110" i="6"/>
  <c r="W113" i="6"/>
  <c r="Y115" i="6"/>
  <c r="X114" i="6"/>
  <c r="AA117" i="6"/>
  <c r="AB118" i="6"/>
  <c r="E37" i="6"/>
  <c r="G39" i="6"/>
  <c r="AA31" i="1"/>
  <c r="AE32" i="1"/>
  <c r="AF32" i="1"/>
  <c r="AD32" i="1"/>
  <c r="AG32" i="1"/>
  <c r="AB32" i="1"/>
  <c r="AC32" i="1"/>
  <c r="V112" i="6"/>
  <c r="I41" i="6"/>
  <c r="AI34" i="1"/>
  <c r="AJ34" i="1"/>
  <c r="AK34" i="1"/>
  <c r="H40" i="6"/>
  <c r="J91" i="1"/>
  <c r="Z116" i="6"/>
  <c r="D36" i="6"/>
  <c r="C35" i="6"/>
  <c r="F38" i="6"/>
  <c r="L43" i="6" l="1"/>
  <c r="L42" i="6" s="1"/>
  <c r="M44" i="6"/>
  <c r="N45" i="6"/>
  <c r="O46" i="6"/>
  <c r="G38" i="6"/>
  <c r="Z115" i="6"/>
  <c r="C34" i="6"/>
  <c r="AC118" i="6"/>
  <c r="AB117" i="6"/>
  <c r="T109" i="6"/>
  <c r="U110" i="6"/>
  <c r="D35" i="6"/>
  <c r="J90" i="1"/>
  <c r="Y114" i="6"/>
  <c r="V111" i="6"/>
  <c r="X113" i="6"/>
  <c r="AC31" i="1"/>
  <c r="AF31" i="1"/>
  <c r="AA30" i="1"/>
  <c r="AB31" i="1"/>
  <c r="AG31" i="1"/>
  <c r="AD31" i="1"/>
  <c r="AE31" i="1"/>
  <c r="F37" i="6"/>
  <c r="AI33" i="1"/>
  <c r="AJ33" i="1"/>
  <c r="AK33" i="1"/>
  <c r="I40" i="6"/>
  <c r="J41" i="6"/>
  <c r="AH32" i="1"/>
  <c r="H39" i="6"/>
  <c r="W112" i="6"/>
  <c r="AA116" i="6"/>
  <c r="E36" i="6"/>
  <c r="P46" i="6" l="1"/>
  <c r="O45" i="6"/>
  <c r="N44" i="6"/>
  <c r="M43" i="6"/>
  <c r="M42" i="6" s="1"/>
  <c r="U109" i="6"/>
  <c r="Z114" i="6"/>
  <c r="AD118" i="6"/>
  <c r="AC117" i="6"/>
  <c r="C33" i="6"/>
  <c r="V110" i="6"/>
  <c r="AF30" i="1"/>
  <c r="AB30" i="1"/>
  <c r="AE30" i="1"/>
  <c r="AA29" i="1"/>
  <c r="AG30" i="1"/>
  <c r="AC30" i="1"/>
  <c r="AD30" i="1"/>
  <c r="Y113" i="6"/>
  <c r="K41" i="6"/>
  <c r="J89" i="1"/>
  <c r="AA115" i="6"/>
  <c r="F36" i="6"/>
  <c r="W111" i="6"/>
  <c r="J40" i="6"/>
  <c r="AH31" i="1"/>
  <c r="X112" i="6"/>
  <c r="T108" i="6"/>
  <c r="D34" i="6"/>
  <c r="H38" i="6"/>
  <c r="AB116" i="6"/>
  <c r="AI32" i="1"/>
  <c r="AK32" i="1"/>
  <c r="AJ32" i="1"/>
  <c r="I39" i="6"/>
  <c r="G37" i="6"/>
  <c r="E35" i="6"/>
  <c r="N43" i="6" l="1"/>
  <c r="O44" i="6"/>
  <c r="P45" i="6"/>
  <c r="Q46" i="6"/>
  <c r="Y112" i="6"/>
  <c r="T107" i="6"/>
  <c r="D33" i="6"/>
  <c r="Z113" i="6"/>
  <c r="H37" i="6"/>
  <c r="AB115" i="6"/>
  <c r="F35" i="6"/>
  <c r="AC116" i="6"/>
  <c r="X111" i="6"/>
  <c r="W110" i="6"/>
  <c r="AA114" i="6"/>
  <c r="L41" i="6"/>
  <c r="AH30" i="1"/>
  <c r="AE118" i="6"/>
  <c r="AD117" i="6"/>
  <c r="U108" i="6"/>
  <c r="K40" i="6"/>
  <c r="I38" i="6"/>
  <c r="AA28" i="1"/>
  <c r="AD29" i="1"/>
  <c r="AE29" i="1"/>
  <c r="AC29" i="1"/>
  <c r="AF29" i="1"/>
  <c r="AG29" i="1"/>
  <c r="AB29" i="1"/>
  <c r="C32" i="6"/>
  <c r="E34" i="6"/>
  <c r="J39" i="6"/>
  <c r="AJ31" i="1"/>
  <c r="AI31" i="1"/>
  <c r="AK31" i="1"/>
  <c r="G36" i="6"/>
  <c r="J88" i="1"/>
  <c r="V109" i="6"/>
  <c r="N42" i="6"/>
  <c r="R46" i="6" l="1"/>
  <c r="Q45" i="6"/>
  <c r="P44" i="6"/>
  <c r="O43" i="6"/>
  <c r="J87" i="1"/>
  <c r="AH29" i="1"/>
  <c r="L40" i="6"/>
  <c r="W109" i="6"/>
  <c r="T106" i="6"/>
  <c r="D32" i="6"/>
  <c r="J38" i="6"/>
  <c r="G35" i="6"/>
  <c r="AB114" i="6"/>
  <c r="H36" i="6"/>
  <c r="X110" i="6"/>
  <c r="C31" i="6"/>
  <c r="U107" i="6"/>
  <c r="M41" i="6"/>
  <c r="Y111" i="6"/>
  <c r="AK30" i="1"/>
  <c r="AI30" i="1"/>
  <c r="AJ30" i="1"/>
  <c r="K39" i="6"/>
  <c r="AC115" i="6"/>
  <c r="I37" i="6"/>
  <c r="E33" i="6"/>
  <c r="AD116" i="6"/>
  <c r="AA113" i="6"/>
  <c r="F34" i="6"/>
  <c r="V108" i="6"/>
  <c r="AG28" i="1"/>
  <c r="AC28" i="1"/>
  <c r="AD28" i="1"/>
  <c r="AA27" i="1"/>
  <c r="AB28" i="1"/>
  <c r="AE28" i="1"/>
  <c r="AF28" i="1"/>
  <c r="AF118" i="6"/>
  <c r="AE117" i="6"/>
  <c r="Z112" i="6"/>
  <c r="P43" i="6" l="1"/>
  <c r="Q44" i="6"/>
  <c r="O42" i="6"/>
  <c r="P42" i="6" s="1"/>
  <c r="R45" i="6"/>
  <c r="S46" i="6"/>
  <c r="AH28" i="1"/>
  <c r="J37" i="6"/>
  <c r="L39" i="6"/>
  <c r="K38" i="6"/>
  <c r="AA112" i="6"/>
  <c r="Y110" i="6"/>
  <c r="M40" i="6"/>
  <c r="D31" i="6"/>
  <c r="E32" i="6"/>
  <c r="AB113" i="6"/>
  <c r="V107" i="6"/>
  <c r="AC114" i="6"/>
  <c r="AE116" i="6"/>
  <c r="AD115" i="6"/>
  <c r="H35" i="6"/>
  <c r="AJ29" i="1"/>
  <c r="AK29" i="1"/>
  <c r="AI29" i="1"/>
  <c r="U106" i="6"/>
  <c r="F33" i="6"/>
  <c r="T105" i="6"/>
  <c r="Z111" i="6"/>
  <c r="AF117" i="6"/>
  <c r="AG118" i="6"/>
  <c r="AC27" i="1"/>
  <c r="AD27" i="1"/>
  <c r="AG27" i="1"/>
  <c r="AE27" i="1"/>
  <c r="AA26" i="1"/>
  <c r="AF27" i="1"/>
  <c r="AB27" i="1"/>
  <c r="G34" i="6"/>
  <c r="C30" i="6"/>
  <c r="N41" i="6"/>
  <c r="X109" i="6"/>
  <c r="J86" i="1"/>
  <c r="I36" i="6"/>
  <c r="W108" i="6"/>
  <c r="S45" i="6" l="1"/>
  <c r="R44" i="6"/>
  <c r="Q43" i="6"/>
  <c r="Q42" i="6" s="1"/>
  <c r="J85" i="1"/>
  <c r="X108" i="6"/>
  <c r="G33" i="6"/>
  <c r="N40" i="6"/>
  <c r="M39" i="6"/>
  <c r="K37" i="6"/>
  <c r="W107" i="6"/>
  <c r="AH118" i="6"/>
  <c r="AG117" i="6"/>
  <c r="AF26" i="1"/>
  <c r="AG26" i="1"/>
  <c r="AE26" i="1"/>
  <c r="AA25" i="1"/>
  <c r="AC26" i="1"/>
  <c r="AD26" i="1"/>
  <c r="AB26" i="1"/>
  <c r="V106" i="6"/>
  <c r="Y109" i="6"/>
  <c r="J36" i="6"/>
  <c r="D30" i="6"/>
  <c r="Z110" i="6"/>
  <c r="AE115" i="6"/>
  <c r="AA111" i="6"/>
  <c r="L38" i="6"/>
  <c r="AI28" i="1"/>
  <c r="AJ28" i="1"/>
  <c r="AK28" i="1"/>
  <c r="AB112" i="6"/>
  <c r="O41" i="6"/>
  <c r="AF116" i="6"/>
  <c r="U105" i="6"/>
  <c r="AH27" i="1"/>
  <c r="T104" i="6"/>
  <c r="C29" i="6"/>
  <c r="AD114" i="6"/>
  <c r="AC113" i="6"/>
  <c r="E31" i="6"/>
  <c r="I35" i="6"/>
  <c r="H34" i="6"/>
  <c r="F32" i="6"/>
  <c r="R43" i="6" l="1"/>
  <c r="S44" i="6"/>
  <c r="C28" i="6"/>
  <c r="AC25" i="1"/>
  <c r="AF25" i="1"/>
  <c r="AA24" i="1"/>
  <c r="AB25" i="1"/>
  <c r="AG25" i="1"/>
  <c r="AD25" i="1"/>
  <c r="AE25" i="1"/>
  <c r="AI118" i="6"/>
  <c r="AH117" i="6"/>
  <c r="O40" i="6"/>
  <c r="N39" i="6"/>
  <c r="I34" i="6"/>
  <c r="D29" i="6"/>
  <c r="AK27" i="1"/>
  <c r="AI27" i="1"/>
  <c r="AJ27" i="1"/>
  <c r="AF115" i="6"/>
  <c r="J35" i="6"/>
  <c r="F31" i="6"/>
  <c r="Z109" i="6"/>
  <c r="V105" i="6"/>
  <c r="X107" i="6"/>
  <c r="AE114" i="6"/>
  <c r="P41" i="6"/>
  <c r="AB111" i="6"/>
  <c r="M38" i="6"/>
  <c r="AH26" i="1"/>
  <c r="W106" i="6"/>
  <c r="Y108" i="6"/>
  <c r="AG116" i="6"/>
  <c r="G32" i="6"/>
  <c r="AC112" i="6"/>
  <c r="U104" i="6"/>
  <c r="E30" i="6"/>
  <c r="J84" i="1"/>
  <c r="AA110" i="6"/>
  <c r="L37" i="6"/>
  <c r="T103" i="6"/>
  <c r="R42" i="6"/>
  <c r="AD113" i="6"/>
  <c r="K36" i="6"/>
  <c r="H33" i="6"/>
  <c r="S43" i="6" l="1"/>
  <c r="G31" i="6"/>
  <c r="C27" i="6"/>
  <c r="O39" i="6"/>
  <c r="AJ118" i="6"/>
  <c r="AI117" i="6"/>
  <c r="M37" i="6"/>
  <c r="AC111" i="6"/>
  <c r="V104" i="6"/>
  <c r="U103" i="6"/>
  <c r="S42" i="6"/>
  <c r="N38" i="6"/>
  <c r="AE113" i="6"/>
  <c r="K35" i="6"/>
  <c r="I33" i="6"/>
  <c r="H32" i="6"/>
  <c r="AD112" i="6"/>
  <c r="T102" i="6"/>
  <c r="E29" i="6"/>
  <c r="AH25" i="1"/>
  <c r="F30" i="6"/>
  <c r="Z108" i="6"/>
  <c r="W105" i="6"/>
  <c r="X106" i="6"/>
  <c r="P40" i="6"/>
  <c r="L36" i="6"/>
  <c r="Y107" i="6"/>
  <c r="AA109" i="6"/>
  <c r="AB110" i="6"/>
  <c r="AF114" i="6"/>
  <c r="AG115" i="6"/>
  <c r="J83" i="1"/>
  <c r="AK26" i="1"/>
  <c r="AJ26" i="1"/>
  <c r="AI26" i="1"/>
  <c r="Q41" i="6"/>
  <c r="J34" i="6"/>
  <c r="AB24" i="1"/>
  <c r="AA23" i="1"/>
  <c r="AG24" i="1"/>
  <c r="AF24" i="1"/>
  <c r="AE24" i="1"/>
  <c r="AC24" i="1"/>
  <c r="AD24" i="1"/>
  <c r="AH116" i="6"/>
  <c r="D28" i="6"/>
  <c r="E28" i="6" l="1"/>
  <c r="K34" i="6"/>
  <c r="W104" i="6"/>
  <c r="O38" i="6"/>
  <c r="P39" i="6"/>
  <c r="AB109" i="6"/>
  <c r="Y106" i="6"/>
  <c r="G30" i="6"/>
  <c r="T101" i="6"/>
  <c r="N37" i="6"/>
  <c r="AC110" i="6"/>
  <c r="J33" i="6"/>
  <c r="D27" i="6"/>
  <c r="AH24" i="1"/>
  <c r="R41" i="6"/>
  <c r="M36" i="6"/>
  <c r="AD111" i="6"/>
  <c r="AG23" i="1"/>
  <c r="AC23" i="1"/>
  <c r="AD23" i="1"/>
  <c r="AA22" i="1"/>
  <c r="AE23" i="1"/>
  <c r="AB23" i="1"/>
  <c r="AF23" i="1"/>
  <c r="AG114" i="6"/>
  <c r="Z107" i="6"/>
  <c r="AJ25" i="1"/>
  <c r="AI25" i="1"/>
  <c r="AK25" i="1"/>
  <c r="L35" i="6"/>
  <c r="H31" i="6"/>
  <c r="J82" i="1"/>
  <c r="AA108" i="6"/>
  <c r="V103" i="6"/>
  <c r="AI116" i="6"/>
  <c r="AF113" i="6"/>
  <c r="AH115" i="6"/>
  <c r="Q40" i="6"/>
  <c r="X105" i="6"/>
  <c r="F29" i="6"/>
  <c r="AE112" i="6"/>
  <c r="U102" i="6"/>
  <c r="AK118" i="6"/>
  <c r="AJ117" i="6"/>
  <c r="C26" i="6"/>
  <c r="I32" i="6"/>
  <c r="AH23" i="1" l="1"/>
  <c r="S41" i="6"/>
  <c r="G29" i="6"/>
  <c r="X104" i="6"/>
  <c r="V102" i="6"/>
  <c r="J81" i="1"/>
  <c r="Z106" i="6"/>
  <c r="AD110" i="6"/>
  <c r="E27" i="6"/>
  <c r="AC109" i="6"/>
  <c r="H30" i="6"/>
  <c r="W103" i="6"/>
  <c r="AD22" i="1"/>
  <c r="AE22" i="1"/>
  <c r="AG22" i="1"/>
  <c r="AF22" i="1"/>
  <c r="AA21" i="1"/>
  <c r="AB22" i="1"/>
  <c r="AC22" i="1"/>
  <c r="U101" i="6"/>
  <c r="R40" i="6"/>
  <c r="N36" i="6"/>
  <c r="K33" i="6"/>
  <c r="Q39" i="6"/>
  <c r="L34" i="6"/>
  <c r="O37" i="6"/>
  <c r="Y105" i="6"/>
  <c r="F28" i="6"/>
  <c r="J32" i="6"/>
  <c r="AF112" i="6"/>
  <c r="AE111" i="6"/>
  <c r="AA107" i="6"/>
  <c r="AB108" i="6"/>
  <c r="P38" i="6"/>
  <c r="D26" i="6"/>
  <c r="AG113" i="6"/>
  <c r="AJ116" i="6"/>
  <c r="AI115" i="6"/>
  <c r="I31" i="6"/>
  <c r="AI24" i="1"/>
  <c r="AJ24" i="1"/>
  <c r="AK24" i="1"/>
  <c r="T100" i="6"/>
  <c r="M35" i="6"/>
  <c r="C25" i="6"/>
  <c r="AK117" i="6"/>
  <c r="AH114" i="6"/>
  <c r="D25" i="6" l="1"/>
  <c r="T99" i="6"/>
  <c r="J31" i="6"/>
  <c r="AB107" i="6"/>
  <c r="G28" i="6"/>
  <c r="P37" i="6"/>
  <c r="L33" i="6"/>
  <c r="U100" i="6"/>
  <c r="W102" i="6"/>
  <c r="AD109" i="6"/>
  <c r="AG112" i="6"/>
  <c r="C24" i="6"/>
  <c r="O36" i="6"/>
  <c r="I30" i="6"/>
  <c r="AI114" i="6"/>
  <c r="Z105" i="6"/>
  <c r="AK23" i="1"/>
  <c r="AI23" i="1"/>
  <c r="AJ23" i="1"/>
  <c r="AH113" i="6"/>
  <c r="AE21" i="1"/>
  <c r="AC21" i="1"/>
  <c r="AA20" i="1"/>
  <c r="AD21" i="1"/>
  <c r="AG21" i="1"/>
  <c r="AF21" i="1"/>
  <c r="AB21" i="1"/>
  <c r="X103" i="6"/>
  <c r="N35" i="6"/>
  <c r="E26" i="6"/>
  <c r="AK116" i="6"/>
  <c r="M34" i="6"/>
  <c r="AH22" i="1"/>
  <c r="AC108" i="6"/>
  <c r="AE110" i="6"/>
  <c r="AF111" i="6"/>
  <c r="AJ115" i="6"/>
  <c r="AA106" i="6"/>
  <c r="J80" i="1"/>
  <c r="K32" i="6"/>
  <c r="Y104" i="6"/>
  <c r="R39" i="6"/>
  <c r="S40" i="6"/>
  <c r="F27" i="6"/>
  <c r="Q38" i="6"/>
  <c r="V101" i="6"/>
  <c r="H29" i="6"/>
  <c r="I29" i="6" l="1"/>
  <c r="R38" i="6"/>
  <c r="J79" i="1"/>
  <c r="AC107" i="6"/>
  <c r="AC20" i="1"/>
  <c r="AF20" i="1"/>
  <c r="AA19" i="1"/>
  <c r="AB20" i="1"/>
  <c r="AG20" i="1"/>
  <c r="AD20" i="1"/>
  <c r="AE20" i="1"/>
  <c r="Q37" i="6"/>
  <c r="T98" i="6"/>
  <c r="S39" i="6"/>
  <c r="AG111" i="6"/>
  <c r="V100" i="6"/>
  <c r="AK22" i="1"/>
  <c r="AJ22" i="1"/>
  <c r="AI22" i="1"/>
  <c r="H28" i="6"/>
  <c r="E25" i="6"/>
  <c r="Y103" i="6"/>
  <c r="AE109" i="6"/>
  <c r="AK115" i="6"/>
  <c r="D24" i="6"/>
  <c r="P36" i="6"/>
  <c r="X102" i="6"/>
  <c r="G27" i="6"/>
  <c r="N34" i="6"/>
  <c r="C23" i="6"/>
  <c r="AI113" i="6"/>
  <c r="U99" i="6"/>
  <c r="AB106" i="6"/>
  <c r="W101" i="6"/>
  <c r="L32" i="6"/>
  <c r="AA105" i="6"/>
  <c r="AF110" i="6"/>
  <c r="F26" i="6"/>
  <c r="AH112" i="6"/>
  <c r="AH21" i="1"/>
  <c r="M33" i="6"/>
  <c r="K31" i="6"/>
  <c r="AJ114" i="6"/>
  <c r="O35" i="6"/>
  <c r="Z104" i="6"/>
  <c r="J30" i="6"/>
  <c r="AD108" i="6"/>
  <c r="AI112" i="6" l="1"/>
  <c r="X101" i="6"/>
  <c r="M32" i="6"/>
  <c r="R37" i="6"/>
  <c r="AD107" i="6"/>
  <c r="N33" i="6"/>
  <c r="AJ113" i="6"/>
  <c r="AK21" i="1"/>
  <c r="AJ21" i="1"/>
  <c r="AI21" i="1"/>
  <c r="H27" i="6"/>
  <c r="AC19" i="1"/>
  <c r="AD19" i="1"/>
  <c r="AG19" i="1"/>
  <c r="AF19" i="1"/>
  <c r="AB19" i="1"/>
  <c r="AE19" i="1"/>
  <c r="AA18" i="1"/>
  <c r="AB105" i="6"/>
  <c r="Y102" i="6"/>
  <c r="AF109" i="6"/>
  <c r="U98" i="6"/>
  <c r="S38" i="6"/>
  <c r="J78" i="1"/>
  <c r="Z103" i="6"/>
  <c r="AK114" i="6"/>
  <c r="L31" i="6"/>
  <c r="O34" i="6"/>
  <c r="F25" i="6"/>
  <c r="C22" i="6"/>
  <c r="K30" i="6"/>
  <c r="G26" i="6"/>
  <c r="D23" i="6"/>
  <c r="Q36" i="6"/>
  <c r="AG110" i="6"/>
  <c r="P35" i="6"/>
  <c r="AH111" i="6"/>
  <c r="AA104" i="6"/>
  <c r="E24" i="6"/>
  <c r="AE108" i="6"/>
  <c r="T97" i="6"/>
  <c r="AC106" i="6"/>
  <c r="J29" i="6"/>
  <c r="W100" i="6"/>
  <c r="I28" i="6"/>
  <c r="V99" i="6"/>
  <c r="AH20" i="1"/>
  <c r="AF108" i="6" l="1"/>
  <c r="K29" i="6"/>
  <c r="AH110" i="6"/>
  <c r="Z102" i="6"/>
  <c r="N32" i="6"/>
  <c r="F24" i="6"/>
  <c r="Q35" i="6"/>
  <c r="E23" i="6"/>
  <c r="D22" i="6"/>
  <c r="AD18" i="1"/>
  <c r="AB18" i="1"/>
  <c r="AA17" i="1"/>
  <c r="AC18" i="1"/>
  <c r="AG18" i="1"/>
  <c r="AE18" i="1"/>
  <c r="AF18" i="1"/>
  <c r="AD106" i="6"/>
  <c r="X100" i="6"/>
  <c r="J28" i="6"/>
  <c r="AE107" i="6"/>
  <c r="I27" i="6"/>
  <c r="AK20" i="1"/>
  <c r="AJ20" i="1"/>
  <c r="AI20" i="1"/>
  <c r="M31" i="6"/>
  <c r="Y101" i="6"/>
  <c r="AB104" i="6"/>
  <c r="O33" i="6"/>
  <c r="W99" i="6"/>
  <c r="T96" i="6"/>
  <c r="H26" i="6"/>
  <c r="G25" i="6"/>
  <c r="U97" i="6"/>
  <c r="AI111" i="6"/>
  <c r="AC105" i="6"/>
  <c r="J77" i="1"/>
  <c r="C21" i="6"/>
  <c r="AA103" i="6"/>
  <c r="AK113" i="6"/>
  <c r="S37" i="6"/>
  <c r="R36" i="6"/>
  <c r="V98" i="6"/>
  <c r="AG109" i="6"/>
  <c r="L30" i="6"/>
  <c r="P34" i="6"/>
  <c r="AH19" i="1"/>
  <c r="AJ112" i="6"/>
  <c r="M30" i="6" l="1"/>
  <c r="T95" i="6"/>
  <c r="AG108" i="6"/>
  <c r="AJ111" i="6"/>
  <c r="Q34" i="6"/>
  <c r="D21" i="6"/>
  <c r="I26" i="6"/>
  <c r="G24" i="6"/>
  <c r="J76" i="1"/>
  <c r="U96" i="6"/>
  <c r="AD105" i="6"/>
  <c r="AH18" i="1"/>
  <c r="AK19" i="1"/>
  <c r="AI19" i="1"/>
  <c r="AJ19" i="1"/>
  <c r="E22" i="6"/>
  <c r="W98" i="6"/>
  <c r="Y100" i="6"/>
  <c r="C20" i="6"/>
  <c r="K28" i="6"/>
  <c r="F23" i="6"/>
  <c r="L29" i="6"/>
  <c r="AH109" i="6"/>
  <c r="AK112" i="6"/>
  <c r="AC104" i="6"/>
  <c r="AD17" i="1"/>
  <c r="AE17" i="1"/>
  <c r="AG17" i="1"/>
  <c r="AF17" i="1"/>
  <c r="AA16" i="1"/>
  <c r="AB17" i="1"/>
  <c r="AC17" i="1"/>
  <c r="Z101" i="6"/>
  <c r="AF107" i="6"/>
  <c r="AE106" i="6"/>
  <c r="P33" i="6"/>
  <c r="S36" i="6"/>
  <c r="AA102" i="6"/>
  <c r="H25" i="6"/>
  <c r="N31" i="6"/>
  <c r="J27" i="6"/>
  <c r="X99" i="6"/>
  <c r="R35" i="6"/>
  <c r="V97" i="6"/>
  <c r="AI110" i="6"/>
  <c r="AB103" i="6"/>
  <c r="O32" i="6"/>
  <c r="AI109" i="6" l="1"/>
  <c r="AA101" i="6"/>
  <c r="G23" i="6"/>
  <c r="Y99" i="6"/>
  <c r="R34" i="6"/>
  <c r="T94" i="6"/>
  <c r="D20" i="6"/>
  <c r="AK111" i="6"/>
  <c r="AE105" i="6"/>
  <c r="S35" i="6"/>
  <c r="AH108" i="6"/>
  <c r="U95" i="6"/>
  <c r="F22" i="6"/>
  <c r="P32" i="6"/>
  <c r="V96" i="6"/>
  <c r="Q33" i="6"/>
  <c r="AF106" i="6"/>
  <c r="AA15" i="1"/>
  <c r="AE16" i="1"/>
  <c r="AF16" i="1"/>
  <c r="AD16" i="1"/>
  <c r="AB16" i="1"/>
  <c r="AG16" i="1"/>
  <c r="AC16" i="1"/>
  <c r="W97" i="6"/>
  <c r="AJ18" i="1"/>
  <c r="AK18" i="1"/>
  <c r="AI18" i="1"/>
  <c r="J26" i="6"/>
  <c r="AJ110" i="6"/>
  <c r="N30" i="6"/>
  <c r="Z100" i="6"/>
  <c r="AB102" i="6"/>
  <c r="I25" i="6"/>
  <c r="AC103" i="6"/>
  <c r="C19" i="6"/>
  <c r="J75" i="1"/>
  <c r="H24" i="6"/>
  <c r="M29" i="6"/>
  <c r="K27" i="6"/>
  <c r="O31" i="6"/>
  <c r="X98" i="6"/>
  <c r="AH17" i="1"/>
  <c r="L28" i="6"/>
  <c r="AD104" i="6"/>
  <c r="AG107" i="6"/>
  <c r="E21" i="6"/>
  <c r="L27" i="6" l="1"/>
  <c r="E20" i="6"/>
  <c r="F21" i="6"/>
  <c r="AA14" i="1"/>
  <c r="AB15" i="1"/>
  <c r="AD15" i="1"/>
  <c r="AC15" i="1"/>
  <c r="AG15" i="1"/>
  <c r="AE15" i="1"/>
  <c r="AF15" i="1"/>
  <c r="Z99" i="6"/>
  <c r="Q32" i="6"/>
  <c r="AH107" i="6"/>
  <c r="AE104" i="6"/>
  <c r="S34" i="6"/>
  <c r="H23" i="6"/>
  <c r="P31" i="6"/>
  <c r="AC102" i="6"/>
  <c r="AD103" i="6"/>
  <c r="N29" i="6"/>
  <c r="J74" i="1"/>
  <c r="K74" i="1" s="1"/>
  <c r="R33" i="6"/>
  <c r="U94" i="6"/>
  <c r="I24" i="6"/>
  <c r="O30" i="6"/>
  <c r="C18" i="6"/>
  <c r="AH16" i="1"/>
  <c r="X97" i="6"/>
  <c r="AJ109" i="6"/>
  <c r="G22" i="6"/>
  <c r="AA100" i="6"/>
  <c r="AI17" i="1"/>
  <c r="AJ17" i="1"/>
  <c r="AK17" i="1"/>
  <c r="J25" i="6"/>
  <c r="AK110" i="6"/>
  <c r="D19" i="6"/>
  <c r="K26" i="6"/>
  <c r="W96" i="6"/>
  <c r="V95" i="6"/>
  <c r="T93" i="6"/>
  <c r="Y98" i="6"/>
  <c r="AI108" i="6"/>
  <c r="AF105" i="6"/>
  <c r="M28" i="6"/>
  <c r="AG106" i="6"/>
  <c r="AB101" i="6"/>
  <c r="W95" i="6" l="1"/>
  <c r="O29" i="6"/>
  <c r="S33" i="6"/>
  <c r="AC101" i="6"/>
  <c r="AE103" i="6"/>
  <c r="K25" i="6"/>
  <c r="Q31" i="6"/>
  <c r="AH106" i="6"/>
  <c r="AA13" i="1"/>
  <c r="AF14" i="1"/>
  <c r="AB14" i="1"/>
  <c r="AE14" i="1"/>
  <c r="AC14" i="1"/>
  <c r="AD14" i="1"/>
  <c r="AG14" i="1"/>
  <c r="L26" i="6"/>
  <c r="AF104" i="6"/>
  <c r="AJ108" i="6"/>
  <c r="P30" i="6"/>
  <c r="F20" i="6"/>
  <c r="T92" i="6"/>
  <c r="D18" i="6"/>
  <c r="G21" i="6"/>
  <c r="AB100" i="6"/>
  <c r="C17" i="6"/>
  <c r="I23" i="6"/>
  <c r="R32" i="6"/>
  <c r="N28" i="6"/>
  <c r="AA99" i="6"/>
  <c r="X96" i="6"/>
  <c r="J24" i="6"/>
  <c r="AI107" i="6"/>
  <c r="V94" i="6"/>
  <c r="AK109" i="6"/>
  <c r="U93" i="6"/>
  <c r="J73" i="1"/>
  <c r="K73" i="1" s="1"/>
  <c r="AD102" i="6"/>
  <c r="AG105" i="6"/>
  <c r="H22" i="6"/>
  <c r="AH15" i="1"/>
  <c r="M27" i="6"/>
  <c r="L74" i="1"/>
  <c r="Y97" i="6"/>
  <c r="E19" i="6"/>
  <c r="AJ16" i="1"/>
  <c r="AK16" i="1"/>
  <c r="AI16" i="1"/>
  <c r="Z98" i="6"/>
  <c r="L73" i="1" l="1"/>
  <c r="AI15" i="1"/>
  <c r="AJ15" i="1"/>
  <c r="AK15" i="1"/>
  <c r="U92" i="6"/>
  <c r="AH14" i="1"/>
  <c r="AH105" i="6"/>
  <c r="L25" i="6"/>
  <c r="C16" i="6"/>
  <c r="H21" i="6"/>
  <c r="G20" i="6"/>
  <c r="AG104" i="6"/>
  <c r="Y96" i="6"/>
  <c r="AI106" i="6"/>
  <c r="AF103" i="6"/>
  <c r="R31" i="6"/>
  <c r="AA98" i="6"/>
  <c r="Q30" i="6"/>
  <c r="P29" i="6"/>
  <c r="Z97" i="6"/>
  <c r="N27" i="6"/>
  <c r="AD101" i="6"/>
  <c r="J23" i="6"/>
  <c r="E18" i="6"/>
  <c r="AE102" i="6"/>
  <c r="X95" i="6"/>
  <c r="M26" i="6"/>
  <c r="F19" i="6"/>
  <c r="S32" i="6"/>
  <c r="D17" i="6"/>
  <c r="I22" i="6"/>
  <c r="AK108" i="6"/>
  <c r="K24" i="6"/>
  <c r="O28" i="6"/>
  <c r="AJ107" i="6"/>
  <c r="J72" i="1"/>
  <c r="K72" i="1" s="1"/>
  <c r="T91" i="6"/>
  <c r="AF13" i="1"/>
  <c r="AG13" i="1"/>
  <c r="AD13" i="1"/>
  <c r="AE13" i="1"/>
  <c r="AA12" i="1"/>
  <c r="AB13" i="1"/>
  <c r="AC13" i="1"/>
  <c r="AC100" i="6"/>
  <c r="W94" i="6"/>
  <c r="AB99" i="6"/>
  <c r="V93" i="6"/>
  <c r="L72" i="1" l="1"/>
  <c r="AC12" i="1"/>
  <c r="AF12" i="1"/>
  <c r="AB12" i="1"/>
  <c r="AA11" i="1"/>
  <c r="AG12" i="1"/>
  <c r="AD12" i="1"/>
  <c r="AE12" i="1"/>
  <c r="AC99" i="6"/>
  <c r="F18" i="6"/>
  <c r="AA97" i="6"/>
  <c r="H20" i="6"/>
  <c r="D16" i="6"/>
  <c r="G19" i="6"/>
  <c r="AE101" i="6"/>
  <c r="O27" i="6"/>
  <c r="AI105" i="6"/>
  <c r="I21" i="6"/>
  <c r="M25" i="6"/>
  <c r="P28" i="6"/>
  <c r="N26" i="6"/>
  <c r="K23" i="6"/>
  <c r="S31" i="6"/>
  <c r="V92" i="6"/>
  <c r="R30" i="6"/>
  <c r="AH104" i="6"/>
  <c r="U91" i="6"/>
  <c r="Y95" i="6"/>
  <c r="T90" i="6"/>
  <c r="L24" i="6"/>
  <c r="J22" i="6"/>
  <c r="X94" i="6"/>
  <c r="Z96" i="6"/>
  <c r="AF102" i="6"/>
  <c r="E17" i="6"/>
  <c r="W93" i="6"/>
  <c r="AH13" i="1"/>
  <c r="AJ106" i="6"/>
  <c r="AD100" i="6"/>
  <c r="AK14" i="1"/>
  <c r="AI14" i="1"/>
  <c r="AJ14" i="1"/>
  <c r="C15" i="6"/>
  <c r="J71" i="1"/>
  <c r="AB98" i="6"/>
  <c r="AK107" i="6"/>
  <c r="Q29" i="6"/>
  <c r="AG103" i="6"/>
  <c r="AI104" i="6" l="1"/>
  <c r="H19" i="6"/>
  <c r="AD11" i="1"/>
  <c r="AA10" i="1"/>
  <c r="AG11" i="1"/>
  <c r="AB11" i="1"/>
  <c r="AC11" i="1"/>
  <c r="AE11" i="1"/>
  <c r="AF11" i="1"/>
  <c r="R29" i="6"/>
  <c r="M24" i="6"/>
  <c r="Y94" i="6"/>
  <c r="AH103" i="6"/>
  <c r="N25" i="6"/>
  <c r="E16" i="6"/>
  <c r="L23" i="6"/>
  <c r="P27" i="6"/>
  <c r="AB97" i="6"/>
  <c r="AD99" i="6"/>
  <c r="I20" i="6"/>
  <c r="AC98" i="6"/>
  <c r="D15" i="6"/>
  <c r="AK106" i="6"/>
  <c r="B106" i="12" s="1"/>
  <c r="C106" i="12" s="1"/>
  <c r="D106" i="12" s="1"/>
  <c r="E106" i="12" s="1"/>
  <c r="F106" i="12" s="1"/>
  <c r="G106" i="12" s="1"/>
  <c r="H106" i="12" s="1"/>
  <c r="I106" i="12" s="1"/>
  <c r="J106" i="12" s="1"/>
  <c r="K106" i="12" s="1"/>
  <c r="L106" i="12" s="1"/>
  <c r="M106" i="12" s="1"/>
  <c r="N106" i="12" s="1"/>
  <c r="O106" i="12" s="1"/>
  <c r="P106" i="12" s="1"/>
  <c r="Q106" i="12" s="1"/>
  <c r="R106" i="12" s="1"/>
  <c r="S106" i="12" s="1"/>
  <c r="T106" i="12" s="1"/>
  <c r="U106" i="12" s="1"/>
  <c r="V106" i="12" s="1"/>
  <c r="W106" i="12" s="1"/>
  <c r="X106" i="12" s="1"/>
  <c r="Y106" i="12" s="1"/>
  <c r="Z106" i="12" s="1"/>
  <c r="AA106" i="12" s="1"/>
  <c r="AB106" i="12" s="1"/>
  <c r="AC106" i="12" s="1"/>
  <c r="AD106" i="12" s="1"/>
  <c r="AE106" i="12" s="1"/>
  <c r="AF106" i="12" s="1"/>
  <c r="AG106" i="12" s="1"/>
  <c r="AH106" i="12" s="1"/>
  <c r="AI106" i="12" s="1"/>
  <c r="AJ106" i="12" s="1"/>
  <c r="AK106" i="12" s="1"/>
  <c r="AL106" i="12" s="1"/>
  <c r="AM106" i="12" s="1"/>
  <c r="AN106" i="12" s="1"/>
  <c r="AO106" i="12" s="1"/>
  <c r="AP106" i="12" s="1"/>
  <c r="AQ106" i="12" s="1"/>
  <c r="AR106" i="12" s="1"/>
  <c r="AS106" i="12" s="1"/>
  <c r="X93" i="6"/>
  <c r="V91" i="6"/>
  <c r="O26" i="6"/>
  <c r="AK13" i="1"/>
  <c r="AI13" i="1"/>
  <c r="AJ13" i="1"/>
  <c r="T89" i="6"/>
  <c r="S30" i="6"/>
  <c r="AA96" i="6"/>
  <c r="W92" i="6"/>
  <c r="J70" i="1"/>
  <c r="Q28" i="6"/>
  <c r="J21" i="6"/>
  <c r="AE100" i="6"/>
  <c r="K71" i="1"/>
  <c r="AJ105" i="6"/>
  <c r="Z95" i="6"/>
  <c r="C14" i="6"/>
  <c r="AG102" i="6"/>
  <c r="F17" i="6"/>
  <c r="AF101" i="6"/>
  <c r="K22" i="6"/>
  <c r="U90" i="6"/>
  <c r="G18" i="6"/>
  <c r="AH12" i="1"/>
  <c r="E15" i="6" l="1"/>
  <c r="AG101" i="6"/>
  <c r="P26" i="6"/>
  <c r="AI103" i="6"/>
  <c r="AK12" i="1"/>
  <c r="AJ12" i="1"/>
  <c r="AI12" i="1"/>
  <c r="G17" i="6"/>
  <c r="L71" i="1"/>
  <c r="K70" i="1"/>
  <c r="Q27" i="6"/>
  <c r="AH11" i="1"/>
  <c r="AF100" i="6"/>
  <c r="AC97" i="6"/>
  <c r="AH102" i="6"/>
  <c r="F16" i="6"/>
  <c r="S29" i="6"/>
  <c r="Z94" i="6"/>
  <c r="AE99" i="6"/>
  <c r="J69" i="1"/>
  <c r="AK105" i="6"/>
  <c r="B105" i="12" s="1"/>
  <c r="J20" i="6"/>
  <c r="AD98" i="6"/>
  <c r="Y93" i="6"/>
  <c r="H18" i="6"/>
  <c r="C13" i="6"/>
  <c r="D14" i="6"/>
  <c r="AA95" i="6"/>
  <c r="V90" i="6"/>
  <c r="AB10" i="1"/>
  <c r="AF10" i="1"/>
  <c r="AD10" i="1"/>
  <c r="AA9" i="1"/>
  <c r="AG10" i="1"/>
  <c r="AC10" i="1"/>
  <c r="AE10" i="1"/>
  <c r="U89" i="6"/>
  <c r="L22" i="6"/>
  <c r="AJ104" i="6"/>
  <c r="K21" i="6"/>
  <c r="W91" i="6"/>
  <c r="T88" i="6"/>
  <c r="X92" i="6"/>
  <c r="N24" i="6"/>
  <c r="I19" i="6"/>
  <c r="AB96" i="6"/>
  <c r="M23" i="6"/>
  <c r="O25" i="6"/>
  <c r="R28" i="6"/>
  <c r="C105" i="12" l="1"/>
  <c r="U88" i="6"/>
  <c r="V89" i="6"/>
  <c r="AD97" i="6"/>
  <c r="Z93" i="6"/>
  <c r="G16" i="6"/>
  <c r="AH101" i="6"/>
  <c r="AG100" i="6"/>
  <c r="J19" i="6"/>
  <c r="I18" i="6"/>
  <c r="P25" i="6"/>
  <c r="AJ103" i="6"/>
  <c r="R27" i="6"/>
  <c r="AF99" i="6"/>
  <c r="N23" i="6"/>
  <c r="T87" i="6"/>
  <c r="AE9" i="1"/>
  <c r="AD9" i="1"/>
  <c r="AF9" i="1"/>
  <c r="AA8" i="1"/>
  <c r="AB9" i="1"/>
  <c r="AC9" i="1"/>
  <c r="AG9" i="1"/>
  <c r="AC96" i="6"/>
  <c r="M22" i="6"/>
  <c r="AH10" i="1"/>
  <c r="AA94" i="6"/>
  <c r="K20" i="6"/>
  <c r="K69" i="1"/>
  <c r="L70" i="1"/>
  <c r="S28" i="6"/>
  <c r="O24" i="6"/>
  <c r="AK104" i="6"/>
  <c r="B104" i="12" s="1"/>
  <c r="J68" i="1"/>
  <c r="C12" i="6"/>
  <c r="F15" i="6"/>
  <c r="Y92" i="6"/>
  <c r="AK11" i="1"/>
  <c r="AI11" i="1"/>
  <c r="AJ11" i="1"/>
  <c r="Q26" i="6"/>
  <c r="W90" i="6"/>
  <c r="X91" i="6"/>
  <c r="E14" i="6"/>
  <c r="H17" i="6"/>
  <c r="AI102" i="6"/>
  <c r="AB95" i="6"/>
  <c r="AE98" i="6"/>
  <c r="L21" i="6"/>
  <c r="D13" i="6"/>
  <c r="C104" i="12" l="1"/>
  <c r="D105" i="12"/>
  <c r="E105" i="12" s="1"/>
  <c r="F105" i="12" s="1"/>
  <c r="G105" i="12" s="1"/>
  <c r="H105" i="12" s="1"/>
  <c r="I105" i="12" s="1"/>
  <c r="J105" i="12" s="1"/>
  <c r="K105" i="12" s="1"/>
  <c r="L105" i="12" s="1"/>
  <c r="M105" i="12" s="1"/>
  <c r="N105" i="12" s="1"/>
  <c r="O105" i="12" s="1"/>
  <c r="P105" i="12" s="1"/>
  <c r="Q105" i="12" s="1"/>
  <c r="R105" i="12" s="1"/>
  <c r="S105" i="12" s="1"/>
  <c r="T105" i="12" s="1"/>
  <c r="U105" i="12" s="1"/>
  <c r="V105" i="12" s="1"/>
  <c r="W105" i="12" s="1"/>
  <c r="X105" i="12" s="1"/>
  <c r="Y105" i="12" s="1"/>
  <c r="Z105" i="12" s="1"/>
  <c r="AA105" i="12" s="1"/>
  <c r="AB105" i="12" s="1"/>
  <c r="AC105" i="12" s="1"/>
  <c r="AD105" i="12" s="1"/>
  <c r="AE105" i="12" s="1"/>
  <c r="AF105" i="12" s="1"/>
  <c r="AG105" i="12" s="1"/>
  <c r="AH105" i="12" s="1"/>
  <c r="AI105" i="12" s="1"/>
  <c r="AJ105" i="12" s="1"/>
  <c r="AK105" i="12" s="1"/>
  <c r="AL105" i="12" s="1"/>
  <c r="AM105" i="12" s="1"/>
  <c r="AN105" i="12" s="1"/>
  <c r="AO105" i="12" s="1"/>
  <c r="AP105" i="12" s="1"/>
  <c r="AQ105" i="12" s="1"/>
  <c r="AR105" i="12" s="1"/>
  <c r="AS105" i="12" s="1"/>
  <c r="AA93" i="6"/>
  <c r="O23" i="6"/>
  <c r="Q25" i="6"/>
  <c r="AH100" i="6"/>
  <c r="R26" i="6"/>
  <c r="AK10" i="1"/>
  <c r="AI10" i="1"/>
  <c r="AJ10" i="1"/>
  <c r="J18" i="6"/>
  <c r="H16" i="6"/>
  <c r="AI101" i="6"/>
  <c r="F14" i="6"/>
  <c r="M21" i="6"/>
  <c r="I17" i="6"/>
  <c r="X90" i="6"/>
  <c r="G15" i="6"/>
  <c r="K68" i="1"/>
  <c r="L69" i="1"/>
  <c r="AH9" i="1"/>
  <c r="AF98" i="6"/>
  <c r="AG99" i="6"/>
  <c r="V88" i="6"/>
  <c r="S27" i="6"/>
  <c r="K19" i="6"/>
  <c r="AB94" i="6"/>
  <c r="Y91" i="6"/>
  <c r="J67" i="1"/>
  <c r="N22" i="6"/>
  <c r="Z92" i="6"/>
  <c r="D12" i="6"/>
  <c r="P24" i="6"/>
  <c r="AC95" i="6"/>
  <c r="U87" i="6"/>
  <c r="AE97" i="6"/>
  <c r="W89" i="6"/>
  <c r="C11" i="6"/>
  <c r="AK103" i="6"/>
  <c r="B103" i="12" s="1"/>
  <c r="L20" i="6"/>
  <c r="AA7" i="1"/>
  <c r="AB8" i="1"/>
  <c r="AC8" i="1"/>
  <c r="AF8" i="1"/>
  <c r="AG8" i="1"/>
  <c r="AD8" i="1"/>
  <c r="AE8" i="1"/>
  <c r="T86" i="6"/>
  <c r="AJ102" i="6"/>
  <c r="AD96" i="6"/>
  <c r="E13" i="6"/>
  <c r="C103" i="12" l="1"/>
  <c r="D104" i="12"/>
  <c r="E104" i="12" s="1"/>
  <c r="F104" i="12" s="1"/>
  <c r="G104" i="12" s="1"/>
  <c r="H104" i="12" s="1"/>
  <c r="I104" i="12" s="1"/>
  <c r="J104" i="12" s="1"/>
  <c r="K104" i="12" s="1"/>
  <c r="L104" i="12" s="1"/>
  <c r="M104" i="12" s="1"/>
  <c r="N104" i="12" s="1"/>
  <c r="O104" i="12" s="1"/>
  <c r="P104" i="12" s="1"/>
  <c r="Q104" i="12" s="1"/>
  <c r="R104" i="12" s="1"/>
  <c r="S104" i="12" s="1"/>
  <c r="T104" i="12" s="1"/>
  <c r="U104" i="12" s="1"/>
  <c r="V104" i="12" s="1"/>
  <c r="W104" i="12" s="1"/>
  <c r="X104" i="12" s="1"/>
  <c r="Y104" i="12" s="1"/>
  <c r="Z104" i="12" s="1"/>
  <c r="AA104" i="12" s="1"/>
  <c r="AB104" i="12" s="1"/>
  <c r="AC104" i="12" s="1"/>
  <c r="AD104" i="12" s="1"/>
  <c r="AE104" i="12" s="1"/>
  <c r="AF104" i="12" s="1"/>
  <c r="AG104" i="12" s="1"/>
  <c r="AH104" i="12" s="1"/>
  <c r="AI104" i="12" s="1"/>
  <c r="AJ104" i="12" s="1"/>
  <c r="AK104" i="12" s="1"/>
  <c r="AL104" i="12" s="1"/>
  <c r="AM104" i="12" s="1"/>
  <c r="AN104" i="12" s="1"/>
  <c r="AO104" i="12" s="1"/>
  <c r="AP104" i="12" s="1"/>
  <c r="AQ104" i="12" s="1"/>
  <c r="AR104" i="12" s="1"/>
  <c r="AS104" i="12" s="1"/>
  <c r="U86" i="6"/>
  <c r="X89" i="6"/>
  <c r="M20" i="6"/>
  <c r="W88" i="6"/>
  <c r="O22" i="6"/>
  <c r="AG98" i="6"/>
  <c r="R25" i="6"/>
  <c r="J17" i="6"/>
  <c r="S26" i="6"/>
  <c r="AK102" i="6"/>
  <c r="B102" i="12" s="1"/>
  <c r="AE96" i="6"/>
  <c r="Q24" i="6"/>
  <c r="J66" i="1"/>
  <c r="AB93" i="6"/>
  <c r="AF97" i="6"/>
  <c r="N21" i="6"/>
  <c r="I16" i="6"/>
  <c r="AH8" i="1"/>
  <c r="Z91" i="6"/>
  <c r="F13" i="6"/>
  <c r="AC94" i="6"/>
  <c r="L68" i="1"/>
  <c r="K67" i="1"/>
  <c r="P23" i="6"/>
  <c r="G14" i="6"/>
  <c r="AJ101" i="6"/>
  <c r="AI9" i="1"/>
  <c r="AJ9" i="1"/>
  <c r="AK9" i="1"/>
  <c r="H15" i="6"/>
  <c r="AA92" i="6"/>
  <c r="AG7" i="1"/>
  <c r="AB7" i="1"/>
  <c r="AD7" i="1"/>
  <c r="AA6" i="1"/>
  <c r="AF7" i="1"/>
  <c r="AE7" i="1"/>
  <c r="AC7" i="1"/>
  <c r="AD95" i="6"/>
  <c r="D11" i="6"/>
  <c r="E12" i="6"/>
  <c r="Y90" i="6"/>
  <c r="L19" i="6"/>
  <c r="AI100" i="6"/>
  <c r="K18" i="6"/>
  <c r="C10" i="6"/>
  <c r="AH99" i="6"/>
  <c r="T85" i="6"/>
  <c r="V87" i="6"/>
  <c r="C102" i="12" l="1"/>
  <c r="D103" i="12"/>
  <c r="E103" i="12" s="1"/>
  <c r="F103" i="12" s="1"/>
  <c r="G103" i="12" s="1"/>
  <c r="H103" i="12" s="1"/>
  <c r="I103" i="12" s="1"/>
  <c r="J103" i="12" s="1"/>
  <c r="K103" i="12" s="1"/>
  <c r="L103" i="12" s="1"/>
  <c r="M103" i="12" s="1"/>
  <c r="N103" i="12" s="1"/>
  <c r="O103" i="12" s="1"/>
  <c r="P103" i="12" s="1"/>
  <c r="Q103" i="12" s="1"/>
  <c r="R103" i="12" s="1"/>
  <c r="S103" i="12" s="1"/>
  <c r="T103" i="12" s="1"/>
  <c r="U103" i="12" s="1"/>
  <c r="V103" i="12" s="1"/>
  <c r="W103" i="12" s="1"/>
  <c r="X103" i="12" s="1"/>
  <c r="Y103" i="12" s="1"/>
  <c r="Z103" i="12" s="1"/>
  <c r="AA103" i="12" s="1"/>
  <c r="AB103" i="12" s="1"/>
  <c r="AC103" i="12" s="1"/>
  <c r="AD103" i="12" s="1"/>
  <c r="AE103" i="12" s="1"/>
  <c r="AF103" i="12" s="1"/>
  <c r="AG103" i="12" s="1"/>
  <c r="AH103" i="12" s="1"/>
  <c r="AI103" i="12" s="1"/>
  <c r="AJ103" i="12" s="1"/>
  <c r="AK103" i="12" s="1"/>
  <c r="AL103" i="12" s="1"/>
  <c r="AM103" i="12" s="1"/>
  <c r="AN103" i="12" s="1"/>
  <c r="AO103" i="12" s="1"/>
  <c r="AP103" i="12" s="1"/>
  <c r="AQ103" i="12" s="1"/>
  <c r="AR103" i="12" s="1"/>
  <c r="AS103" i="12" s="1"/>
  <c r="AB92" i="6"/>
  <c r="M19" i="6"/>
  <c r="AJ100" i="6"/>
  <c r="AC93" i="6"/>
  <c r="AE95" i="6"/>
  <c r="P22" i="6"/>
  <c r="I15" i="6"/>
  <c r="Z90" i="6"/>
  <c r="J16" i="6"/>
  <c r="AK101" i="6"/>
  <c r="B101" i="12" s="1"/>
  <c r="S25" i="6"/>
  <c r="AI99" i="6"/>
  <c r="E11" i="6"/>
  <c r="G13" i="6"/>
  <c r="J65" i="1"/>
  <c r="K17" i="6"/>
  <c r="AA5" i="1"/>
  <c r="AC6" i="1"/>
  <c r="AD6" i="1"/>
  <c r="AB6" i="1"/>
  <c r="AG6" i="1"/>
  <c r="AE6" i="1"/>
  <c r="AF6" i="1"/>
  <c r="AA91" i="6"/>
  <c r="C9" i="6"/>
  <c r="O21" i="6"/>
  <c r="W87" i="6"/>
  <c r="T84" i="6"/>
  <c r="L67" i="1"/>
  <c r="K66" i="1"/>
  <c r="AK8" i="1"/>
  <c r="AI8" i="1"/>
  <c r="AJ8" i="1"/>
  <c r="R24" i="6"/>
  <c r="AG97" i="6"/>
  <c r="X88" i="6"/>
  <c r="U85" i="6"/>
  <c r="L18" i="6"/>
  <c r="Y89" i="6"/>
  <c r="H14" i="6"/>
  <c r="N20" i="6"/>
  <c r="V86" i="6"/>
  <c r="AH98" i="6"/>
  <c r="F12" i="6"/>
  <c r="D10" i="6"/>
  <c r="AD94" i="6"/>
  <c r="AH7" i="1"/>
  <c r="Q23" i="6"/>
  <c r="AF96" i="6"/>
  <c r="C101" i="12" l="1"/>
  <c r="D102" i="12"/>
  <c r="E102" i="12" s="1"/>
  <c r="F102" i="12" s="1"/>
  <c r="G102" i="12" s="1"/>
  <c r="H102" i="12" s="1"/>
  <c r="I102" i="12" s="1"/>
  <c r="J102" i="12" s="1"/>
  <c r="K102" i="12" s="1"/>
  <c r="L102" i="12" s="1"/>
  <c r="M102" i="12" s="1"/>
  <c r="N102" i="12" s="1"/>
  <c r="O102" i="12" s="1"/>
  <c r="P102" i="12" s="1"/>
  <c r="Q102" i="12" s="1"/>
  <c r="R102" i="12" s="1"/>
  <c r="S102" i="12" s="1"/>
  <c r="T102" i="12" s="1"/>
  <c r="U102" i="12" s="1"/>
  <c r="V102" i="12" s="1"/>
  <c r="W102" i="12" s="1"/>
  <c r="X102" i="12" s="1"/>
  <c r="Y102" i="12" s="1"/>
  <c r="Z102" i="12" s="1"/>
  <c r="AA102" i="12" s="1"/>
  <c r="AB102" i="12" s="1"/>
  <c r="AC102" i="12" s="1"/>
  <c r="AD102" i="12" s="1"/>
  <c r="AE102" i="12" s="1"/>
  <c r="AF102" i="12" s="1"/>
  <c r="AG102" i="12" s="1"/>
  <c r="AH102" i="12" s="1"/>
  <c r="AI102" i="12" s="1"/>
  <c r="AJ102" i="12" s="1"/>
  <c r="AK102" i="12" s="1"/>
  <c r="AL102" i="12" s="1"/>
  <c r="AM102" i="12" s="1"/>
  <c r="AN102" i="12" s="1"/>
  <c r="AO102" i="12" s="1"/>
  <c r="AP102" i="12" s="1"/>
  <c r="AQ102" i="12" s="1"/>
  <c r="AR102" i="12" s="1"/>
  <c r="AS102" i="12" s="1"/>
  <c r="AF95" i="6"/>
  <c r="AI7" i="1"/>
  <c r="AJ7" i="1"/>
  <c r="AK7" i="1"/>
  <c r="L17" i="6"/>
  <c r="J15" i="6"/>
  <c r="AC92" i="6"/>
  <c r="AI98" i="6"/>
  <c r="O20" i="6"/>
  <c r="AG96" i="6"/>
  <c r="P21" i="6"/>
  <c r="K16" i="6"/>
  <c r="N19" i="6"/>
  <c r="I14" i="6"/>
  <c r="M18" i="6"/>
  <c r="C8" i="6"/>
  <c r="J64" i="1"/>
  <c r="AJ99" i="6"/>
  <c r="V85" i="6"/>
  <c r="AD93" i="6"/>
  <c r="R23" i="6"/>
  <c r="T83" i="6"/>
  <c r="Z89" i="6"/>
  <c r="AA90" i="6"/>
  <c r="G12" i="6"/>
  <c r="U84" i="6"/>
  <c r="L66" i="1"/>
  <c r="K65" i="1"/>
  <c r="AH6" i="1"/>
  <c r="AE94" i="6"/>
  <c r="AB91" i="6"/>
  <c r="AC5" i="1"/>
  <c r="AE5" i="1"/>
  <c r="AA4" i="1"/>
  <c r="AB5" i="1"/>
  <c r="AD5" i="1"/>
  <c r="AG5" i="1"/>
  <c r="AF5" i="1"/>
  <c r="S24" i="6"/>
  <c r="F11" i="6"/>
  <c r="Q22" i="6"/>
  <c r="Y88" i="6"/>
  <c r="W86" i="6"/>
  <c r="E10" i="6"/>
  <c r="AH97" i="6"/>
  <c r="X87" i="6"/>
  <c r="D9" i="6"/>
  <c r="H13" i="6"/>
  <c r="AK100" i="6"/>
  <c r="B100" i="12" s="1"/>
  <c r="C100" i="12" l="1"/>
  <c r="D101" i="12"/>
  <c r="E101" i="12" s="1"/>
  <c r="F101" i="12" s="1"/>
  <c r="G101" i="12" s="1"/>
  <c r="H101" i="12" s="1"/>
  <c r="I101" i="12" s="1"/>
  <c r="J101" i="12" s="1"/>
  <c r="K101" i="12" s="1"/>
  <c r="L101" i="12" s="1"/>
  <c r="M101" i="12" s="1"/>
  <c r="N101" i="12" s="1"/>
  <c r="O101" i="12" s="1"/>
  <c r="P101" i="12" s="1"/>
  <c r="Q101" i="12" s="1"/>
  <c r="R101" i="12" s="1"/>
  <c r="S101" i="12" s="1"/>
  <c r="T101" i="12" s="1"/>
  <c r="U101" i="12" s="1"/>
  <c r="V101" i="12" s="1"/>
  <c r="W101" i="12" s="1"/>
  <c r="X101" i="12" s="1"/>
  <c r="Y101" i="12" s="1"/>
  <c r="Z101" i="12" s="1"/>
  <c r="AA101" i="12" s="1"/>
  <c r="AB101" i="12" s="1"/>
  <c r="AC101" i="12" s="1"/>
  <c r="AD101" i="12" s="1"/>
  <c r="AE101" i="12" s="1"/>
  <c r="AF101" i="12" s="1"/>
  <c r="AG101" i="12" s="1"/>
  <c r="AH101" i="12" s="1"/>
  <c r="AI101" i="12" s="1"/>
  <c r="AJ101" i="12" s="1"/>
  <c r="AK101" i="12" s="1"/>
  <c r="AL101" i="12" s="1"/>
  <c r="AM101" i="12" s="1"/>
  <c r="AN101" i="12" s="1"/>
  <c r="AO101" i="12" s="1"/>
  <c r="AP101" i="12" s="1"/>
  <c r="AQ101" i="12" s="1"/>
  <c r="AR101" i="12" s="1"/>
  <c r="AS101" i="12" s="1"/>
  <c r="K15" i="6"/>
  <c r="Y87" i="6"/>
  <c r="AH96" i="6"/>
  <c r="AK99" i="6"/>
  <c r="B99" i="12" s="1"/>
  <c r="F10" i="6"/>
  <c r="AE93" i="6"/>
  <c r="AD92" i="6"/>
  <c r="C7" i="6"/>
  <c r="K64" i="1"/>
  <c r="L65" i="1"/>
  <c r="D8" i="6"/>
  <c r="AI97" i="6"/>
  <c r="I13" i="6"/>
  <c r="X86" i="6"/>
  <c r="T82" i="6"/>
  <c r="V84" i="6"/>
  <c r="AE4" i="1"/>
  <c r="AD4" i="1"/>
  <c r="AB4" i="1"/>
  <c r="AA3" i="1"/>
  <c r="AG4" i="1"/>
  <c r="AF4" i="1"/>
  <c r="AC4" i="1"/>
  <c r="W85" i="6"/>
  <c r="H12" i="6"/>
  <c r="G11" i="6"/>
  <c r="AJ6" i="1"/>
  <c r="AI6" i="1"/>
  <c r="AK6" i="1"/>
  <c r="L16" i="6"/>
  <c r="AG95" i="6"/>
  <c r="AF94" i="6"/>
  <c r="N18" i="6"/>
  <c r="O19" i="6"/>
  <c r="AC91" i="6"/>
  <c r="M17" i="6"/>
  <c r="U83" i="6"/>
  <c r="E9" i="6"/>
  <c r="R22" i="6"/>
  <c r="AH5" i="1"/>
  <c r="AB90" i="6"/>
  <c r="Z88" i="6"/>
  <c r="S23" i="6"/>
  <c r="AJ98" i="6"/>
  <c r="J63" i="1"/>
  <c r="P20" i="6"/>
  <c r="AA89" i="6"/>
  <c r="Q21" i="6"/>
  <c r="J14" i="6"/>
  <c r="C99" i="12" l="1"/>
  <c r="D100" i="12"/>
  <c r="E100" i="12" s="1"/>
  <c r="F100" i="12" s="1"/>
  <c r="G100" i="12" s="1"/>
  <c r="H100" i="12" s="1"/>
  <c r="I100" i="12" s="1"/>
  <c r="J100" i="12" s="1"/>
  <c r="K100" i="12" s="1"/>
  <c r="L100" i="12" s="1"/>
  <c r="M100" i="12" s="1"/>
  <c r="N100" i="12" s="1"/>
  <c r="O100" i="12" s="1"/>
  <c r="P100" i="12" s="1"/>
  <c r="Q100" i="12" s="1"/>
  <c r="R100" i="12" s="1"/>
  <c r="S100" i="12" s="1"/>
  <c r="T100" i="12" s="1"/>
  <c r="U100" i="12" s="1"/>
  <c r="V100" i="12" s="1"/>
  <c r="W100" i="12" s="1"/>
  <c r="X100" i="12" s="1"/>
  <c r="Y100" i="12" s="1"/>
  <c r="Z100" i="12" s="1"/>
  <c r="AA100" i="12" s="1"/>
  <c r="AB100" i="12" s="1"/>
  <c r="AC100" i="12" s="1"/>
  <c r="AD100" i="12" s="1"/>
  <c r="AE100" i="12" s="1"/>
  <c r="AF100" i="12" s="1"/>
  <c r="AG100" i="12" s="1"/>
  <c r="AH100" i="12" s="1"/>
  <c r="AI100" i="12" s="1"/>
  <c r="AJ100" i="12" s="1"/>
  <c r="AK100" i="12" s="1"/>
  <c r="AL100" i="12" s="1"/>
  <c r="AM100" i="12" s="1"/>
  <c r="AN100" i="12" s="1"/>
  <c r="AO100" i="12" s="1"/>
  <c r="AP100" i="12" s="1"/>
  <c r="AQ100" i="12" s="1"/>
  <c r="AR100" i="12" s="1"/>
  <c r="AS100" i="12" s="1"/>
  <c r="O18" i="6"/>
  <c r="P19" i="6"/>
  <c r="Q20" i="6"/>
  <c r="AG94" i="6"/>
  <c r="D7" i="6"/>
  <c r="G10" i="6"/>
  <c r="H11" i="6"/>
  <c r="M16" i="6"/>
  <c r="AE92" i="6"/>
  <c r="AK98" i="6"/>
  <c r="B98" i="12" s="1"/>
  <c r="R21" i="6"/>
  <c r="AB89" i="6"/>
  <c r="K14" i="6"/>
  <c r="AA88" i="6"/>
  <c r="Z87" i="6"/>
  <c r="AK5" i="1"/>
  <c r="AI5" i="1"/>
  <c r="AJ5" i="1"/>
  <c r="AC90" i="6"/>
  <c r="U82" i="6"/>
  <c r="J62" i="1"/>
  <c r="AI96" i="6"/>
  <c r="L15" i="6"/>
  <c r="C6" i="6"/>
  <c r="AH4" i="1"/>
  <c r="AH95" i="6"/>
  <c r="N17" i="6"/>
  <c r="AF93" i="6"/>
  <c r="S22" i="6"/>
  <c r="I12" i="6"/>
  <c r="V83" i="6"/>
  <c r="X85" i="6"/>
  <c r="AJ97" i="6"/>
  <c r="AD3" i="1"/>
  <c r="AE3" i="1"/>
  <c r="AG3" i="1"/>
  <c r="AB3" i="1"/>
  <c r="AC3" i="1"/>
  <c r="AF3" i="1"/>
  <c r="E8" i="6"/>
  <c r="L64" i="1"/>
  <c r="K63" i="1"/>
  <c r="AD91" i="6"/>
  <c r="F9" i="6"/>
  <c r="W84" i="6"/>
  <c r="T81" i="6"/>
  <c r="J13" i="6"/>
  <c r="Y86" i="6"/>
  <c r="C98" i="12" l="1"/>
  <c r="D99" i="12"/>
  <c r="E99" i="12" s="1"/>
  <c r="F99" i="12" s="1"/>
  <c r="G99" i="12" s="1"/>
  <c r="H99" i="12" s="1"/>
  <c r="I99" i="12" s="1"/>
  <c r="J99" i="12" s="1"/>
  <c r="K99" i="12" s="1"/>
  <c r="L99" i="12" s="1"/>
  <c r="M99" i="12" s="1"/>
  <c r="N99" i="12" s="1"/>
  <c r="O99" i="12" s="1"/>
  <c r="P99" i="12" s="1"/>
  <c r="Q99" i="12" s="1"/>
  <c r="R99" i="12" s="1"/>
  <c r="S99" i="12" s="1"/>
  <c r="T99" i="12" s="1"/>
  <c r="U99" i="12" s="1"/>
  <c r="V99" i="12" s="1"/>
  <c r="W99" i="12" s="1"/>
  <c r="X99" i="12" s="1"/>
  <c r="Y99" i="12" s="1"/>
  <c r="Z99" i="12" s="1"/>
  <c r="AA99" i="12" s="1"/>
  <c r="AB99" i="12" s="1"/>
  <c r="AC99" i="12" s="1"/>
  <c r="AD99" i="12" s="1"/>
  <c r="AE99" i="12" s="1"/>
  <c r="AF99" i="12" s="1"/>
  <c r="AG99" i="12" s="1"/>
  <c r="AH99" i="12" s="1"/>
  <c r="AI99" i="12" s="1"/>
  <c r="AJ99" i="12" s="1"/>
  <c r="AK99" i="12" s="1"/>
  <c r="AL99" i="12" s="1"/>
  <c r="AM99" i="12" s="1"/>
  <c r="AN99" i="12" s="1"/>
  <c r="AO99" i="12" s="1"/>
  <c r="AP99" i="12" s="1"/>
  <c r="AQ99" i="12" s="1"/>
  <c r="AR99" i="12" s="1"/>
  <c r="AS99" i="12" s="1"/>
  <c r="AC89" i="6"/>
  <c r="Y85" i="6"/>
  <c r="G9" i="6"/>
  <c r="O17" i="6"/>
  <c r="L63" i="1"/>
  <c r="K62" i="1"/>
  <c r="J61" i="1"/>
  <c r="S21" i="6"/>
  <c r="I11" i="6"/>
  <c r="AG93" i="6"/>
  <c r="AH3" i="1"/>
  <c r="AH94" i="6"/>
  <c r="AI95" i="6"/>
  <c r="E7" i="6"/>
  <c r="Q19" i="6"/>
  <c r="AA87" i="6"/>
  <c r="F8" i="6"/>
  <c r="V82" i="6"/>
  <c r="AF92" i="6"/>
  <c r="U81" i="6"/>
  <c r="L14" i="6"/>
  <c r="AK97" i="6"/>
  <c r="B97" i="12" s="1"/>
  <c r="K13" i="6"/>
  <c r="J12" i="6"/>
  <c r="M15" i="6"/>
  <c r="C5" i="6"/>
  <c r="AE91" i="6"/>
  <c r="N16" i="6"/>
  <c r="P18" i="6"/>
  <c r="H10" i="6"/>
  <c r="R20" i="6"/>
  <c r="W83" i="6"/>
  <c r="X84" i="6"/>
  <c r="T80" i="6"/>
  <c r="AD90" i="6"/>
  <c r="D6" i="6"/>
  <c r="AB88" i="6"/>
  <c r="AJ96" i="6"/>
  <c r="AJ4" i="1"/>
  <c r="AI4" i="1"/>
  <c r="AK4" i="1"/>
  <c r="Z86" i="6"/>
  <c r="C97" i="12" l="1"/>
  <c r="D98" i="12"/>
  <c r="E98" i="12" s="1"/>
  <c r="F98" i="12" s="1"/>
  <c r="G98" i="12" s="1"/>
  <c r="H98" i="12" s="1"/>
  <c r="I98" i="12" s="1"/>
  <c r="J98" i="12" s="1"/>
  <c r="K98" i="12" s="1"/>
  <c r="L98" i="12" s="1"/>
  <c r="M98" i="12" s="1"/>
  <c r="N98" i="12" s="1"/>
  <c r="O98" i="12" s="1"/>
  <c r="P98" i="12" s="1"/>
  <c r="Q98" i="12" s="1"/>
  <c r="R98" i="12" s="1"/>
  <c r="S98" i="12" s="1"/>
  <c r="T98" i="12" s="1"/>
  <c r="U98" i="12" s="1"/>
  <c r="V98" i="12" s="1"/>
  <c r="W98" i="12" s="1"/>
  <c r="X98" i="12" s="1"/>
  <c r="Y98" i="12" s="1"/>
  <c r="Z98" i="12" s="1"/>
  <c r="AA98" i="12" s="1"/>
  <c r="AB98" i="12" s="1"/>
  <c r="AC98" i="12" s="1"/>
  <c r="AD98" i="12" s="1"/>
  <c r="AE98" i="12" s="1"/>
  <c r="AF98" i="12" s="1"/>
  <c r="AG98" i="12" s="1"/>
  <c r="AH98" i="12" s="1"/>
  <c r="AI98" i="12" s="1"/>
  <c r="AJ98" i="12" s="1"/>
  <c r="AK98" i="12" s="1"/>
  <c r="AL98" i="12" s="1"/>
  <c r="AM98" i="12" s="1"/>
  <c r="AN98" i="12" s="1"/>
  <c r="AO98" i="12" s="1"/>
  <c r="AP98" i="12" s="1"/>
  <c r="AQ98" i="12" s="1"/>
  <c r="AR98" i="12" s="1"/>
  <c r="AS98" i="12" s="1"/>
  <c r="AD89" i="6"/>
  <c r="X83" i="6"/>
  <c r="R19" i="6"/>
  <c r="J60" i="1"/>
  <c r="Y84" i="6"/>
  <c r="I10" i="6"/>
  <c r="L13" i="6"/>
  <c r="AB87" i="6"/>
  <c r="W82" i="6"/>
  <c r="O16" i="6"/>
  <c r="G8" i="6"/>
  <c r="K61" i="1"/>
  <c r="L62" i="1"/>
  <c r="U80" i="6"/>
  <c r="AJ95" i="6"/>
  <c r="T79" i="6"/>
  <c r="K12" i="6"/>
  <c r="AK96" i="6"/>
  <c r="B96" i="12" s="1"/>
  <c r="AI3" i="1"/>
  <c r="AJ3" i="1"/>
  <c r="AK3" i="1"/>
  <c r="P17" i="6"/>
  <c r="AC88" i="6"/>
  <c r="J11" i="6"/>
  <c r="AE90" i="6"/>
  <c r="AF91" i="6"/>
  <c r="AI94" i="6"/>
  <c r="AG92" i="6"/>
  <c r="N15" i="6"/>
  <c r="S20" i="6"/>
  <c r="M14" i="6"/>
  <c r="AA86" i="6"/>
  <c r="F7" i="6"/>
  <c r="H9" i="6"/>
  <c r="Z85" i="6"/>
  <c r="C4" i="6"/>
  <c r="E6" i="6"/>
  <c r="Q18" i="6"/>
  <c r="D5" i="6"/>
  <c r="V81" i="6"/>
  <c r="AH93" i="6"/>
  <c r="C96" i="12" l="1"/>
  <c r="D97" i="12"/>
  <c r="E97" i="12" s="1"/>
  <c r="F97" i="12" s="1"/>
  <c r="G97" i="12" s="1"/>
  <c r="H97" i="12" s="1"/>
  <c r="I97" i="12" s="1"/>
  <c r="J97" i="12" s="1"/>
  <c r="K97" i="12" s="1"/>
  <c r="L97" i="12" s="1"/>
  <c r="M97" i="12" s="1"/>
  <c r="N97" i="12" s="1"/>
  <c r="O97" i="12" s="1"/>
  <c r="P97" i="12" s="1"/>
  <c r="Q97" i="12" s="1"/>
  <c r="R97" i="12" s="1"/>
  <c r="S97" i="12" s="1"/>
  <c r="T97" i="12" s="1"/>
  <c r="U97" i="12" s="1"/>
  <c r="V97" i="12" s="1"/>
  <c r="W97" i="12" s="1"/>
  <c r="X97" i="12" s="1"/>
  <c r="Y97" i="12" s="1"/>
  <c r="Z97" i="12" s="1"/>
  <c r="AA97" i="12" s="1"/>
  <c r="AB97" i="12" s="1"/>
  <c r="AC97" i="12" s="1"/>
  <c r="AD97" i="12" s="1"/>
  <c r="AE97" i="12" s="1"/>
  <c r="AF97" i="12" s="1"/>
  <c r="AG97" i="12" s="1"/>
  <c r="AH97" i="12" s="1"/>
  <c r="AI97" i="12" s="1"/>
  <c r="AJ97" i="12" s="1"/>
  <c r="AK97" i="12" s="1"/>
  <c r="AL97" i="12" s="1"/>
  <c r="AM97" i="12" s="1"/>
  <c r="AN97" i="12" s="1"/>
  <c r="AO97" i="12" s="1"/>
  <c r="AP97" i="12" s="1"/>
  <c r="AQ97" i="12" s="1"/>
  <c r="AR97" i="12" s="1"/>
  <c r="AS97" i="12" s="1"/>
  <c r="G7" i="6"/>
  <c r="E5" i="6"/>
  <c r="N14" i="6"/>
  <c r="AF90" i="6"/>
  <c r="J59" i="1"/>
  <c r="Z84" i="6"/>
  <c r="R18" i="6"/>
  <c r="J10" i="6"/>
  <c r="V80" i="6"/>
  <c r="Q17" i="6"/>
  <c r="L12" i="6"/>
  <c r="H8" i="6"/>
  <c r="AG91" i="6"/>
  <c r="I9" i="6"/>
  <c r="AI93" i="6"/>
  <c r="AJ94" i="6"/>
  <c r="AB86" i="6"/>
  <c r="Y83" i="6"/>
  <c r="K60" i="1"/>
  <c r="L61" i="1"/>
  <c r="W81" i="6"/>
  <c r="F6" i="6"/>
  <c r="AA85" i="6"/>
  <c r="AE89" i="6"/>
  <c r="U79" i="6"/>
  <c r="M13" i="6"/>
  <c r="AD88" i="6"/>
  <c r="AC87" i="6"/>
  <c r="C3" i="6"/>
  <c r="T78" i="6"/>
  <c r="K11" i="6"/>
  <c r="AH92" i="6"/>
  <c r="D4" i="6"/>
  <c r="O15" i="6"/>
  <c r="AK95" i="6"/>
  <c r="B95" i="12" s="1"/>
  <c r="P16" i="6"/>
  <c r="S19" i="6"/>
  <c r="X82" i="6"/>
  <c r="C95" i="12" l="1"/>
  <c r="D96" i="12"/>
  <c r="E96" i="12" s="1"/>
  <c r="F96" i="12" s="1"/>
  <c r="G96" i="12" s="1"/>
  <c r="H96" i="12" s="1"/>
  <c r="I96" i="12" s="1"/>
  <c r="J96" i="12" s="1"/>
  <c r="K96" i="12" s="1"/>
  <c r="L96" i="12" s="1"/>
  <c r="M96" i="12" s="1"/>
  <c r="N96" i="12" s="1"/>
  <c r="O96" i="12" s="1"/>
  <c r="P96" i="12" s="1"/>
  <c r="Q96" i="12" s="1"/>
  <c r="R96" i="12" s="1"/>
  <c r="S96" i="12" s="1"/>
  <c r="T96" i="12" s="1"/>
  <c r="U96" i="12" s="1"/>
  <c r="V96" i="12" s="1"/>
  <c r="W96" i="12" s="1"/>
  <c r="X96" i="12" s="1"/>
  <c r="Y96" i="12" s="1"/>
  <c r="Z96" i="12" s="1"/>
  <c r="AA96" i="12" s="1"/>
  <c r="AB96" i="12" s="1"/>
  <c r="AC96" i="12" s="1"/>
  <c r="AD96" i="12" s="1"/>
  <c r="AE96" i="12" s="1"/>
  <c r="AF96" i="12" s="1"/>
  <c r="AG96" i="12" s="1"/>
  <c r="AH96" i="12" s="1"/>
  <c r="AI96" i="12" s="1"/>
  <c r="AJ96" i="12" s="1"/>
  <c r="AK96" i="12" s="1"/>
  <c r="AL96" i="12" s="1"/>
  <c r="AM96" i="12" s="1"/>
  <c r="AN96" i="12" s="1"/>
  <c r="AO96" i="12" s="1"/>
  <c r="AP96" i="12" s="1"/>
  <c r="AQ96" i="12" s="1"/>
  <c r="AR96" i="12" s="1"/>
  <c r="AS96" i="12" s="1"/>
  <c r="L11" i="6"/>
  <c r="N13" i="6"/>
  <c r="X81" i="6"/>
  <c r="P15" i="6"/>
  <c r="AD87" i="6"/>
  <c r="AH91" i="6"/>
  <c r="G6" i="6"/>
  <c r="J58" i="1"/>
  <c r="AF89" i="6"/>
  <c r="AG90" i="6"/>
  <c r="W80" i="6"/>
  <c r="AJ93" i="6"/>
  <c r="J9" i="6"/>
  <c r="M12" i="6"/>
  <c r="S18" i="6"/>
  <c r="AE88" i="6"/>
  <c r="E4" i="6"/>
  <c r="AC86" i="6"/>
  <c r="Y82" i="6"/>
  <c r="K10" i="6"/>
  <c r="O14" i="6"/>
  <c r="H7" i="6"/>
  <c r="Q16" i="6"/>
  <c r="Z83" i="6"/>
  <c r="AK94" i="6"/>
  <c r="B94" i="12" s="1"/>
  <c r="D3" i="6"/>
  <c r="U78" i="6"/>
  <c r="AA84" i="6"/>
  <c r="K59" i="1"/>
  <c r="L60" i="1"/>
  <c r="AB85" i="6"/>
  <c r="R17" i="6"/>
  <c r="V79" i="6"/>
  <c r="I8" i="6"/>
  <c r="T77" i="6"/>
  <c r="AI92" i="6"/>
  <c r="F5" i="6"/>
  <c r="C94" i="12" l="1"/>
  <c r="D95" i="12"/>
  <c r="E95" i="12" s="1"/>
  <c r="F95" i="12" s="1"/>
  <c r="G95" i="12" s="1"/>
  <c r="H95" i="12" s="1"/>
  <c r="I95" i="12" s="1"/>
  <c r="J95" i="12" s="1"/>
  <c r="K95" i="12" s="1"/>
  <c r="L95" i="12" s="1"/>
  <c r="M95" i="12" s="1"/>
  <c r="N95" i="12" s="1"/>
  <c r="O95" i="12" s="1"/>
  <c r="P95" i="12" s="1"/>
  <c r="Q95" i="12" s="1"/>
  <c r="R95" i="12" s="1"/>
  <c r="S95" i="12" s="1"/>
  <c r="T95" i="12" s="1"/>
  <c r="U95" i="12" s="1"/>
  <c r="V95" i="12" s="1"/>
  <c r="W95" i="12" s="1"/>
  <c r="X95" i="12" s="1"/>
  <c r="Y95" i="12" s="1"/>
  <c r="Z95" i="12" s="1"/>
  <c r="AA95" i="12" s="1"/>
  <c r="AB95" i="12" s="1"/>
  <c r="AC95" i="12" s="1"/>
  <c r="AD95" i="12" s="1"/>
  <c r="AE95" i="12" s="1"/>
  <c r="AF95" i="12" s="1"/>
  <c r="AG95" i="12" s="1"/>
  <c r="AH95" i="12" s="1"/>
  <c r="AI95" i="12" s="1"/>
  <c r="AJ95" i="12" s="1"/>
  <c r="AK95" i="12" s="1"/>
  <c r="AL95" i="12" s="1"/>
  <c r="AM95" i="12" s="1"/>
  <c r="AN95" i="12" s="1"/>
  <c r="AO95" i="12" s="1"/>
  <c r="AP95" i="12" s="1"/>
  <c r="AQ95" i="12" s="1"/>
  <c r="AR95" i="12" s="1"/>
  <c r="AS95" i="12" s="1"/>
  <c r="T76" i="6"/>
  <c r="J8" i="6"/>
  <c r="U77" i="6"/>
  <c r="P14" i="6"/>
  <c r="AC85" i="6"/>
  <c r="N12" i="6"/>
  <c r="W79" i="6"/>
  <c r="AG89" i="6"/>
  <c r="AF88" i="6"/>
  <c r="H6" i="6"/>
  <c r="O13" i="6"/>
  <c r="R16" i="6"/>
  <c r="J57" i="1"/>
  <c r="AD86" i="6"/>
  <c r="L10" i="6"/>
  <c r="F4" i="6"/>
  <c r="K9" i="6"/>
  <c r="M11" i="6"/>
  <c r="AI91" i="6"/>
  <c r="AK93" i="6"/>
  <c r="B93" i="12" s="1"/>
  <c r="Y81" i="6"/>
  <c r="G5" i="6"/>
  <c r="K58" i="1"/>
  <c r="L59" i="1"/>
  <c r="AH90" i="6"/>
  <c r="AB84" i="6"/>
  <c r="V78" i="6"/>
  <c r="AJ92" i="6"/>
  <c r="Q15" i="6"/>
  <c r="AA83" i="6"/>
  <c r="I7" i="6"/>
  <c r="S17" i="6"/>
  <c r="E3" i="6"/>
  <c r="Z82" i="6"/>
  <c r="AE87" i="6"/>
  <c r="X80" i="6"/>
  <c r="C93" i="12" l="1"/>
  <c r="D94" i="12"/>
  <c r="E94" i="12" s="1"/>
  <c r="F94" i="12" s="1"/>
  <c r="G94" i="12" s="1"/>
  <c r="H94" i="12" s="1"/>
  <c r="I94" i="12" s="1"/>
  <c r="J94" i="12" s="1"/>
  <c r="K94" i="12" s="1"/>
  <c r="L94" i="12" s="1"/>
  <c r="M94" i="12" s="1"/>
  <c r="N94" i="12" s="1"/>
  <c r="O94" i="12" s="1"/>
  <c r="P94" i="12" s="1"/>
  <c r="Q94" i="12" s="1"/>
  <c r="R94" i="12" s="1"/>
  <c r="S94" i="12" s="1"/>
  <c r="T94" i="12" s="1"/>
  <c r="U94" i="12" s="1"/>
  <c r="V94" i="12" s="1"/>
  <c r="W94" i="12" s="1"/>
  <c r="X94" i="12" s="1"/>
  <c r="Y94" i="12" s="1"/>
  <c r="Z94" i="12" s="1"/>
  <c r="AA94" i="12" s="1"/>
  <c r="AB94" i="12" s="1"/>
  <c r="AC94" i="12" s="1"/>
  <c r="AD94" i="12" s="1"/>
  <c r="AE94" i="12" s="1"/>
  <c r="AF94" i="12" s="1"/>
  <c r="AG94" i="12" s="1"/>
  <c r="AH94" i="12" s="1"/>
  <c r="AI94" i="12" s="1"/>
  <c r="AJ94" i="12" s="1"/>
  <c r="AK94" i="12" s="1"/>
  <c r="AL94" i="12" s="1"/>
  <c r="AM94" i="12" s="1"/>
  <c r="AN94" i="12" s="1"/>
  <c r="AO94" i="12" s="1"/>
  <c r="AP94" i="12" s="1"/>
  <c r="AQ94" i="12" s="1"/>
  <c r="AR94" i="12" s="1"/>
  <c r="AS94" i="12" s="1"/>
  <c r="AB83" i="6"/>
  <c r="Q14" i="6"/>
  <c r="K8" i="6"/>
  <c r="AI90" i="6"/>
  <c r="P13" i="6"/>
  <c r="F3" i="6"/>
  <c r="N11" i="6"/>
  <c r="L9" i="6"/>
  <c r="S16" i="6"/>
  <c r="W78" i="6"/>
  <c r="AG88" i="6"/>
  <c r="AA82" i="6"/>
  <c r="V77" i="6"/>
  <c r="Y80" i="6"/>
  <c r="J56" i="1"/>
  <c r="AJ91" i="6"/>
  <c r="J7" i="6"/>
  <c r="AH89" i="6"/>
  <c r="K57" i="1"/>
  <c r="L58" i="1"/>
  <c r="O12" i="6"/>
  <c r="T75" i="6"/>
  <c r="Z81" i="6"/>
  <c r="AE86" i="6"/>
  <c r="R15" i="6"/>
  <c r="AK92" i="6"/>
  <c r="B92" i="12" s="1"/>
  <c r="G4" i="6"/>
  <c r="I6" i="6"/>
  <c r="U76" i="6"/>
  <c r="AF87" i="6"/>
  <c r="X79" i="6"/>
  <c r="H5" i="6"/>
  <c r="M10" i="6"/>
  <c r="AD85" i="6"/>
  <c r="AC84" i="6"/>
  <c r="C92" i="12" l="1"/>
  <c r="D93" i="12"/>
  <c r="E93" i="12" s="1"/>
  <c r="F93" i="12" s="1"/>
  <c r="G93" i="12" s="1"/>
  <c r="H93" i="12" s="1"/>
  <c r="I93" i="12" s="1"/>
  <c r="J93" i="12" s="1"/>
  <c r="K93" i="12" s="1"/>
  <c r="L93" i="12" s="1"/>
  <c r="M93" i="12" s="1"/>
  <c r="N93" i="12" s="1"/>
  <c r="O93" i="12" s="1"/>
  <c r="P93" i="12" s="1"/>
  <c r="Q93" i="12" s="1"/>
  <c r="R93" i="12" s="1"/>
  <c r="S93" i="12" s="1"/>
  <c r="T93" i="12" s="1"/>
  <c r="U93" i="12" s="1"/>
  <c r="V93" i="12" s="1"/>
  <c r="W93" i="12" s="1"/>
  <c r="X93" i="12" s="1"/>
  <c r="Y93" i="12" s="1"/>
  <c r="Z93" i="12" s="1"/>
  <c r="AA93" i="12" s="1"/>
  <c r="AB93" i="12" s="1"/>
  <c r="AC93" i="12" s="1"/>
  <c r="AD93" i="12" s="1"/>
  <c r="AE93" i="12" s="1"/>
  <c r="AF93" i="12" s="1"/>
  <c r="AG93" i="12" s="1"/>
  <c r="AH93" i="12" s="1"/>
  <c r="AI93" i="12" s="1"/>
  <c r="AJ93" i="12" s="1"/>
  <c r="AK93" i="12" s="1"/>
  <c r="AL93" i="12" s="1"/>
  <c r="AM93" i="12" s="1"/>
  <c r="AN93" i="12" s="1"/>
  <c r="AO93" i="12" s="1"/>
  <c r="AP93" i="12" s="1"/>
  <c r="AQ93" i="12" s="1"/>
  <c r="AR93" i="12" s="1"/>
  <c r="AS93" i="12" s="1"/>
  <c r="Z80" i="6"/>
  <c r="N10" i="6"/>
  <c r="X78" i="6"/>
  <c r="Y79" i="6"/>
  <c r="AA81" i="6"/>
  <c r="R14" i="6"/>
  <c r="T74" i="6"/>
  <c r="M9" i="6"/>
  <c r="AI89" i="6"/>
  <c r="AC83" i="6"/>
  <c r="I5" i="6"/>
  <c r="AF86" i="6"/>
  <c r="L57" i="1"/>
  <c r="K56" i="1"/>
  <c r="H4" i="6"/>
  <c r="AE85" i="6"/>
  <c r="P12" i="6"/>
  <c r="K7" i="6"/>
  <c r="AJ90" i="6"/>
  <c r="V76" i="6"/>
  <c r="O11" i="6"/>
  <c r="AG87" i="6"/>
  <c r="G3" i="6"/>
  <c r="AH88" i="6"/>
  <c r="J55" i="1"/>
  <c r="U75" i="6"/>
  <c r="J6" i="6"/>
  <c r="S15" i="6"/>
  <c r="W77" i="6"/>
  <c r="AD84" i="6"/>
  <c r="Q13" i="6"/>
  <c r="L8" i="6"/>
  <c r="AK91" i="6"/>
  <c r="B91" i="12" s="1"/>
  <c r="AB82" i="6"/>
  <c r="C91" i="12" l="1"/>
  <c r="D92" i="12"/>
  <c r="E92" i="12" s="1"/>
  <c r="F92" i="12" s="1"/>
  <c r="G92" i="12" s="1"/>
  <c r="H92" i="12" s="1"/>
  <c r="I92" i="12" s="1"/>
  <c r="J92" i="12" s="1"/>
  <c r="K92" i="12" s="1"/>
  <c r="L92" i="12" s="1"/>
  <c r="M92" i="12" s="1"/>
  <c r="N92" i="12" s="1"/>
  <c r="O92" i="12" s="1"/>
  <c r="P92" i="12" s="1"/>
  <c r="Q92" i="12" s="1"/>
  <c r="R92" i="12" s="1"/>
  <c r="S92" i="12" s="1"/>
  <c r="T92" i="12" s="1"/>
  <c r="U92" i="12" s="1"/>
  <c r="V92" i="12" s="1"/>
  <c r="W92" i="12" s="1"/>
  <c r="X92" i="12" s="1"/>
  <c r="Y92" i="12" s="1"/>
  <c r="Z92" i="12" s="1"/>
  <c r="AA92" i="12" s="1"/>
  <c r="AB92" i="12" s="1"/>
  <c r="AC92" i="12" s="1"/>
  <c r="AD92" i="12" s="1"/>
  <c r="AE92" i="12" s="1"/>
  <c r="AF92" i="12" s="1"/>
  <c r="AG92" i="12" s="1"/>
  <c r="AH92" i="12" s="1"/>
  <c r="AI92" i="12" s="1"/>
  <c r="AJ92" i="12" s="1"/>
  <c r="AK92" i="12" s="1"/>
  <c r="AL92" i="12" s="1"/>
  <c r="AM92" i="12" s="1"/>
  <c r="AN92" i="12" s="1"/>
  <c r="AO92" i="12" s="1"/>
  <c r="AP92" i="12" s="1"/>
  <c r="AQ92" i="12" s="1"/>
  <c r="AR92" i="12" s="1"/>
  <c r="AS92" i="12" s="1"/>
  <c r="AD83" i="6"/>
  <c r="AH87" i="6"/>
  <c r="O10" i="6"/>
  <c r="M8" i="6"/>
  <c r="U74" i="6"/>
  <c r="Q12" i="6"/>
  <c r="L56" i="1"/>
  <c r="K55" i="1"/>
  <c r="AA80" i="6"/>
  <c r="K6" i="6"/>
  <c r="P11" i="6"/>
  <c r="AK90" i="6"/>
  <c r="B90" i="12" s="1"/>
  <c r="AG86" i="6"/>
  <c r="V75" i="6"/>
  <c r="Z79" i="6"/>
  <c r="R13" i="6"/>
  <c r="AE84" i="6"/>
  <c r="AC82" i="6"/>
  <c r="N9" i="6"/>
  <c r="Y78" i="6"/>
  <c r="W76" i="6"/>
  <c r="J54" i="1"/>
  <c r="AJ89" i="6"/>
  <c r="AF85" i="6"/>
  <c r="S14" i="6"/>
  <c r="I4" i="6"/>
  <c r="AB81" i="6"/>
  <c r="L7" i="6"/>
  <c r="J5" i="6"/>
  <c r="T73" i="6"/>
  <c r="X77" i="6"/>
  <c r="H3" i="6"/>
  <c r="AI88" i="6"/>
  <c r="C90" i="12" l="1"/>
  <c r="D91" i="12"/>
  <c r="E91" i="12" s="1"/>
  <c r="F91" i="12" s="1"/>
  <c r="G91" i="12" s="1"/>
  <c r="H91" i="12" s="1"/>
  <c r="I91" i="12" s="1"/>
  <c r="J91" i="12" s="1"/>
  <c r="K91" i="12" s="1"/>
  <c r="L91" i="12" s="1"/>
  <c r="M91" i="12" s="1"/>
  <c r="N91" i="12" s="1"/>
  <c r="O91" i="12" s="1"/>
  <c r="P91" i="12" s="1"/>
  <c r="Q91" i="12" s="1"/>
  <c r="R91" i="12" s="1"/>
  <c r="S91" i="12" s="1"/>
  <c r="T91" i="12" s="1"/>
  <c r="U91" i="12" s="1"/>
  <c r="V91" i="12" s="1"/>
  <c r="W91" i="12" s="1"/>
  <c r="X91" i="12" s="1"/>
  <c r="Y91" i="12" s="1"/>
  <c r="Z91" i="12" s="1"/>
  <c r="AA91" i="12" s="1"/>
  <c r="AB91" i="12" s="1"/>
  <c r="AC91" i="12" s="1"/>
  <c r="AD91" i="12" s="1"/>
  <c r="AE91" i="12" s="1"/>
  <c r="AF91" i="12" s="1"/>
  <c r="AG91" i="12" s="1"/>
  <c r="AH91" i="12" s="1"/>
  <c r="AI91" i="12" s="1"/>
  <c r="AJ91" i="12" s="1"/>
  <c r="AK91" i="12" s="1"/>
  <c r="AL91" i="12" s="1"/>
  <c r="AM91" i="12" s="1"/>
  <c r="AN91" i="12" s="1"/>
  <c r="AO91" i="12" s="1"/>
  <c r="AP91" i="12" s="1"/>
  <c r="AQ91" i="12" s="1"/>
  <c r="AR91" i="12" s="1"/>
  <c r="AS91" i="12" s="1"/>
  <c r="L6" i="6"/>
  <c r="R12" i="6"/>
  <c r="X76" i="6"/>
  <c r="AF84" i="6"/>
  <c r="Z78" i="6"/>
  <c r="AK89" i="6"/>
  <c r="B89" i="12" s="1"/>
  <c r="M7" i="6"/>
  <c r="J4" i="6"/>
  <c r="W75" i="6"/>
  <c r="V74" i="6"/>
  <c r="AE83" i="6"/>
  <c r="P10" i="6"/>
  <c r="AI87" i="6"/>
  <c r="AJ88" i="6"/>
  <c r="Y77" i="6"/>
  <c r="AG85" i="6"/>
  <c r="AH86" i="6"/>
  <c r="T72" i="6"/>
  <c r="AB80" i="6"/>
  <c r="AA79" i="6"/>
  <c r="K54" i="1"/>
  <c r="L55" i="1"/>
  <c r="O9" i="6"/>
  <c r="S13" i="6"/>
  <c r="Q11" i="6"/>
  <c r="U73" i="6"/>
  <c r="I3" i="6"/>
  <c r="K5" i="6"/>
  <c r="J53" i="1"/>
  <c r="AD82" i="6"/>
  <c r="AC81" i="6"/>
  <c r="N8" i="6"/>
  <c r="C89" i="12" l="1"/>
  <c r="D90" i="12"/>
  <c r="E90" i="12" s="1"/>
  <c r="F90" i="12" s="1"/>
  <c r="G90" i="12" s="1"/>
  <c r="H90" i="12" s="1"/>
  <c r="I90" i="12" s="1"/>
  <c r="J90" i="12" s="1"/>
  <c r="K90" i="12" s="1"/>
  <c r="L90" i="12" s="1"/>
  <c r="M90" i="12" s="1"/>
  <c r="N90" i="12" s="1"/>
  <c r="O90" i="12" s="1"/>
  <c r="P90" i="12" s="1"/>
  <c r="Q90" i="12" s="1"/>
  <c r="R90" i="12" s="1"/>
  <c r="S90" i="12" s="1"/>
  <c r="T90" i="12" s="1"/>
  <c r="U90" i="12" s="1"/>
  <c r="V90" i="12" s="1"/>
  <c r="W90" i="12" s="1"/>
  <c r="X90" i="12" s="1"/>
  <c r="Y90" i="12" s="1"/>
  <c r="Z90" i="12" s="1"/>
  <c r="AA90" i="12" s="1"/>
  <c r="AB90" i="12" s="1"/>
  <c r="AC90" i="12" s="1"/>
  <c r="AD90" i="12" s="1"/>
  <c r="AE90" i="12" s="1"/>
  <c r="AF90" i="12" s="1"/>
  <c r="AG90" i="12" s="1"/>
  <c r="AH90" i="12" s="1"/>
  <c r="AI90" i="12" s="1"/>
  <c r="AJ90" i="12" s="1"/>
  <c r="AK90" i="12" s="1"/>
  <c r="AL90" i="12" s="1"/>
  <c r="AM90" i="12" s="1"/>
  <c r="AN90" i="12" s="1"/>
  <c r="AO90" i="12" s="1"/>
  <c r="AP90" i="12" s="1"/>
  <c r="AQ90" i="12" s="1"/>
  <c r="AR90" i="12" s="1"/>
  <c r="AS90" i="12" s="1"/>
  <c r="Q10" i="6"/>
  <c r="N7" i="6"/>
  <c r="AD81" i="6"/>
  <c r="AG84" i="6"/>
  <c r="AJ87" i="6"/>
  <c r="S12" i="6"/>
  <c r="V73" i="6"/>
  <c r="AK88" i="6"/>
  <c r="B88" i="12" s="1"/>
  <c r="U72" i="6"/>
  <c r="AB79" i="6"/>
  <c r="AI86" i="6"/>
  <c r="AE82" i="6"/>
  <c r="O8" i="6"/>
  <c r="J52" i="1"/>
  <c r="K4" i="6"/>
  <c r="Z77" i="6"/>
  <c r="X75" i="6"/>
  <c r="M6" i="6"/>
  <c r="R11" i="6"/>
  <c r="J3" i="6"/>
  <c r="P9" i="6"/>
  <c r="T71" i="6"/>
  <c r="L5" i="6"/>
  <c r="AA78" i="6"/>
  <c r="AH85" i="6"/>
  <c r="AC80" i="6"/>
  <c r="Y76" i="6"/>
  <c r="K53" i="1"/>
  <c r="L54" i="1"/>
  <c r="W74" i="6"/>
  <c r="AF83" i="6"/>
  <c r="C88" i="12" l="1"/>
  <c r="D89" i="12"/>
  <c r="E89" i="12" s="1"/>
  <c r="F89" i="12" s="1"/>
  <c r="G89" i="12" s="1"/>
  <c r="H89" i="12" s="1"/>
  <c r="I89" i="12" s="1"/>
  <c r="J89" i="12" s="1"/>
  <c r="K89" i="12" s="1"/>
  <c r="L89" i="12" s="1"/>
  <c r="M89" i="12" s="1"/>
  <c r="N89" i="12" s="1"/>
  <c r="O89" i="12" s="1"/>
  <c r="P89" i="12" s="1"/>
  <c r="Q89" i="12" s="1"/>
  <c r="R89" i="12" s="1"/>
  <c r="S89" i="12" s="1"/>
  <c r="T89" i="12" s="1"/>
  <c r="U89" i="12" s="1"/>
  <c r="V89" i="12" s="1"/>
  <c r="W89" i="12" s="1"/>
  <c r="X89" i="12" s="1"/>
  <c r="Y89" i="12" s="1"/>
  <c r="Z89" i="12" s="1"/>
  <c r="AA89" i="12" s="1"/>
  <c r="AB89" i="12" s="1"/>
  <c r="AC89" i="12" s="1"/>
  <c r="AD89" i="12" s="1"/>
  <c r="AE89" i="12" s="1"/>
  <c r="AF89" i="12" s="1"/>
  <c r="AG89" i="12" s="1"/>
  <c r="AH89" i="12" s="1"/>
  <c r="AI89" i="12" s="1"/>
  <c r="AJ89" i="12" s="1"/>
  <c r="AK89" i="12" s="1"/>
  <c r="AL89" i="12" s="1"/>
  <c r="AM89" i="12" s="1"/>
  <c r="AN89" i="12" s="1"/>
  <c r="AO89" i="12" s="1"/>
  <c r="AP89" i="12" s="1"/>
  <c r="AQ89" i="12" s="1"/>
  <c r="AR89" i="12" s="1"/>
  <c r="AS89" i="12" s="1"/>
  <c r="N6" i="6"/>
  <c r="AH84" i="6"/>
  <c r="K3" i="6"/>
  <c r="J51" i="1"/>
  <c r="V72" i="6"/>
  <c r="R10" i="6"/>
  <c r="P8" i="6"/>
  <c r="AJ86" i="6"/>
  <c r="Q9" i="6"/>
  <c r="Z76" i="6"/>
  <c r="AE81" i="6"/>
  <c r="AB78" i="6"/>
  <c r="AD80" i="6"/>
  <c r="Y75" i="6"/>
  <c r="AK87" i="6"/>
  <c r="B87" i="12" s="1"/>
  <c r="AG83" i="6"/>
  <c r="O7" i="6"/>
  <c r="X74" i="6"/>
  <c r="AF82" i="6"/>
  <c r="L4" i="6"/>
  <c r="AI85" i="6"/>
  <c r="K52" i="1"/>
  <c r="L53" i="1"/>
  <c r="AA77" i="6"/>
  <c r="S11" i="6"/>
  <c r="AC79" i="6"/>
  <c r="M5" i="6"/>
  <c r="T70" i="6"/>
  <c r="U71" i="6"/>
  <c r="W73" i="6"/>
  <c r="C87" i="12" l="1"/>
  <c r="D88" i="12"/>
  <c r="E88" i="12" s="1"/>
  <c r="F88" i="12" s="1"/>
  <c r="G88" i="12" s="1"/>
  <c r="H88" i="12" s="1"/>
  <c r="I88" i="12" s="1"/>
  <c r="J88" i="12" s="1"/>
  <c r="K88" i="12" s="1"/>
  <c r="L88" i="12" s="1"/>
  <c r="M88" i="12" s="1"/>
  <c r="N88" i="12" s="1"/>
  <c r="O88" i="12" s="1"/>
  <c r="P88" i="12" s="1"/>
  <c r="Q88" i="12" s="1"/>
  <c r="R88" i="12" s="1"/>
  <c r="S88" i="12" s="1"/>
  <c r="T88" i="12" s="1"/>
  <c r="U88" i="12" s="1"/>
  <c r="V88" i="12" s="1"/>
  <c r="W88" i="12" s="1"/>
  <c r="X88" i="12" s="1"/>
  <c r="Y88" i="12" s="1"/>
  <c r="Z88" i="12" s="1"/>
  <c r="AA88" i="12" s="1"/>
  <c r="AB88" i="12" s="1"/>
  <c r="AC88" i="12" s="1"/>
  <c r="AD88" i="12" s="1"/>
  <c r="AE88" i="12" s="1"/>
  <c r="AF88" i="12" s="1"/>
  <c r="AG88" i="12" s="1"/>
  <c r="AH88" i="12" s="1"/>
  <c r="AI88" i="12" s="1"/>
  <c r="AJ88" i="12" s="1"/>
  <c r="AK88" i="12" s="1"/>
  <c r="AL88" i="12" s="1"/>
  <c r="AM88" i="12" s="1"/>
  <c r="AN88" i="12" s="1"/>
  <c r="AO88" i="12" s="1"/>
  <c r="AP88" i="12" s="1"/>
  <c r="AQ88" i="12" s="1"/>
  <c r="AR88" i="12" s="1"/>
  <c r="AS88" i="12" s="1"/>
  <c r="AI84" i="6"/>
  <c r="Y74" i="6"/>
  <c r="U70" i="6"/>
  <c r="N5" i="6"/>
  <c r="AD79" i="6"/>
  <c r="Q8" i="6"/>
  <c r="J50" i="1"/>
  <c r="W72" i="6"/>
  <c r="M4" i="6"/>
  <c r="L52" i="1"/>
  <c r="K51" i="1"/>
  <c r="AB77" i="6"/>
  <c r="AE80" i="6"/>
  <c r="O6" i="6"/>
  <c r="AC78" i="6"/>
  <c r="AJ85" i="6"/>
  <c r="S10" i="6"/>
  <c r="L3" i="6"/>
  <c r="AG82" i="6"/>
  <c r="R9" i="6"/>
  <c r="AA76" i="6"/>
  <c r="AF81" i="6"/>
  <c r="X73" i="6"/>
  <c r="V71" i="6"/>
  <c r="AH83" i="6"/>
  <c r="T69" i="6"/>
  <c r="AK86" i="6"/>
  <c r="B86" i="12" s="1"/>
  <c r="P7" i="6"/>
  <c r="Z75" i="6"/>
  <c r="C86" i="12" l="1"/>
  <c r="D87" i="12"/>
  <c r="E87" i="12" s="1"/>
  <c r="F87" i="12" s="1"/>
  <c r="G87" i="12" s="1"/>
  <c r="H87" i="12" s="1"/>
  <c r="I87" i="12" s="1"/>
  <c r="J87" i="12" s="1"/>
  <c r="K87" i="12" s="1"/>
  <c r="L87" i="12" s="1"/>
  <c r="M87" i="12" s="1"/>
  <c r="N87" i="12" s="1"/>
  <c r="O87" i="12" s="1"/>
  <c r="P87" i="12" s="1"/>
  <c r="Q87" i="12" s="1"/>
  <c r="R87" i="12" s="1"/>
  <c r="S87" i="12" s="1"/>
  <c r="T87" i="12" s="1"/>
  <c r="U87" i="12" s="1"/>
  <c r="V87" i="12" s="1"/>
  <c r="W87" i="12" s="1"/>
  <c r="X87" i="12" s="1"/>
  <c r="Y87" i="12" s="1"/>
  <c r="Z87" i="12" s="1"/>
  <c r="AA87" i="12" s="1"/>
  <c r="AB87" i="12" s="1"/>
  <c r="AC87" i="12" s="1"/>
  <c r="AD87" i="12" s="1"/>
  <c r="AE87" i="12" s="1"/>
  <c r="AF87" i="12" s="1"/>
  <c r="AG87" i="12" s="1"/>
  <c r="AH87" i="12" s="1"/>
  <c r="AI87" i="12" s="1"/>
  <c r="AJ87" i="12" s="1"/>
  <c r="AK87" i="12" s="1"/>
  <c r="AL87" i="12" s="1"/>
  <c r="AM87" i="12" s="1"/>
  <c r="AN87" i="12" s="1"/>
  <c r="AO87" i="12" s="1"/>
  <c r="AP87" i="12" s="1"/>
  <c r="AQ87" i="12" s="1"/>
  <c r="AR87" i="12" s="1"/>
  <c r="AS87" i="12" s="1"/>
  <c r="AK85" i="6"/>
  <c r="B85" i="12" s="1"/>
  <c r="R8" i="6"/>
  <c r="Y73" i="6"/>
  <c r="AF80" i="6"/>
  <c r="AB76" i="6"/>
  <c r="O5" i="6"/>
  <c r="S9" i="6"/>
  <c r="Q7" i="6"/>
  <c r="AJ84" i="6"/>
  <c r="W71" i="6"/>
  <c r="AG81" i="6"/>
  <c r="AC77" i="6"/>
  <c r="AD78" i="6"/>
  <c r="U69" i="6"/>
  <c r="AH82" i="6"/>
  <c r="AA75" i="6"/>
  <c r="P6" i="6"/>
  <c r="AI83" i="6"/>
  <c r="Z74" i="6"/>
  <c r="T68" i="6"/>
  <c r="N4" i="6"/>
  <c r="V70" i="6"/>
  <c r="X72" i="6"/>
  <c r="M3" i="6"/>
  <c r="J49" i="1"/>
  <c r="AE79" i="6"/>
  <c r="L51" i="1"/>
  <c r="K50" i="1"/>
  <c r="C85" i="12" l="1"/>
  <c r="D86" i="12"/>
  <c r="E86" i="12" s="1"/>
  <c r="F86" i="12" s="1"/>
  <c r="G86" i="12" s="1"/>
  <c r="H86" i="12" s="1"/>
  <c r="I86" i="12" s="1"/>
  <c r="J86" i="12" s="1"/>
  <c r="K86" i="12" s="1"/>
  <c r="L86" i="12" s="1"/>
  <c r="M86" i="12" s="1"/>
  <c r="N86" i="12" s="1"/>
  <c r="O86" i="12" s="1"/>
  <c r="P86" i="12" s="1"/>
  <c r="Q86" i="12" s="1"/>
  <c r="R86" i="12" s="1"/>
  <c r="S86" i="12" s="1"/>
  <c r="T86" i="12" s="1"/>
  <c r="U86" i="12" s="1"/>
  <c r="V86" i="12" s="1"/>
  <c r="W86" i="12" s="1"/>
  <c r="X86" i="12" s="1"/>
  <c r="Y86" i="12" s="1"/>
  <c r="Z86" i="12" s="1"/>
  <c r="AA86" i="12" s="1"/>
  <c r="AB86" i="12" s="1"/>
  <c r="AC86" i="12" s="1"/>
  <c r="AD86" i="12" s="1"/>
  <c r="AE86" i="12" s="1"/>
  <c r="AF86" i="12" s="1"/>
  <c r="AG86" i="12" s="1"/>
  <c r="AH86" i="12" s="1"/>
  <c r="AI86" i="12" s="1"/>
  <c r="AJ86" i="12" s="1"/>
  <c r="AK86" i="12" s="1"/>
  <c r="AL86" i="12" s="1"/>
  <c r="AM86" i="12" s="1"/>
  <c r="AN86" i="12" s="1"/>
  <c r="AO86" i="12" s="1"/>
  <c r="AP86" i="12" s="1"/>
  <c r="AQ86" i="12" s="1"/>
  <c r="AR86" i="12" s="1"/>
  <c r="AS86" i="12" s="1"/>
  <c r="T67" i="6"/>
  <c r="AI82" i="6"/>
  <c r="Q6" i="6"/>
  <c r="AH81" i="6"/>
  <c r="AC76" i="6"/>
  <c r="P5" i="6"/>
  <c r="N3" i="6"/>
  <c r="R7" i="6"/>
  <c r="K49" i="1"/>
  <c r="L50" i="1"/>
  <c r="M50" i="1" s="1"/>
  <c r="AA74" i="6"/>
  <c r="U68" i="6"/>
  <c r="AF79" i="6"/>
  <c r="S8" i="6"/>
  <c r="AG80" i="6"/>
  <c r="V69" i="6"/>
  <c r="W70" i="6"/>
  <c r="AE78" i="6"/>
  <c r="Z73" i="6"/>
  <c r="AD77" i="6"/>
  <c r="AJ83" i="6"/>
  <c r="AB75" i="6"/>
  <c r="AK84" i="6"/>
  <c r="B84" i="12" s="1"/>
  <c r="J48" i="1"/>
  <c r="X71" i="6"/>
  <c r="O4" i="6"/>
  <c r="Y72" i="6"/>
  <c r="C84" i="12" l="1"/>
  <c r="D85" i="12"/>
  <c r="E85" i="12" s="1"/>
  <c r="F85" i="12" s="1"/>
  <c r="G85" i="12" s="1"/>
  <c r="H85" i="12" s="1"/>
  <c r="I85" i="12" s="1"/>
  <c r="J85" i="12" s="1"/>
  <c r="K85" i="12" s="1"/>
  <c r="L85" i="12" s="1"/>
  <c r="M85" i="12" s="1"/>
  <c r="N85" i="12" s="1"/>
  <c r="O85" i="12" s="1"/>
  <c r="P85" i="12" s="1"/>
  <c r="Q85" i="12" s="1"/>
  <c r="R85" i="12" s="1"/>
  <c r="S85" i="12" s="1"/>
  <c r="T85" i="12" s="1"/>
  <c r="U85" i="12" s="1"/>
  <c r="V85" i="12" s="1"/>
  <c r="W85" i="12" s="1"/>
  <c r="X85" i="12" s="1"/>
  <c r="Y85" i="12" s="1"/>
  <c r="Z85" i="12" s="1"/>
  <c r="AA85" i="12" s="1"/>
  <c r="AB85" i="12" s="1"/>
  <c r="AC85" i="12" s="1"/>
  <c r="AD85" i="12" s="1"/>
  <c r="AE85" i="12" s="1"/>
  <c r="AF85" i="12" s="1"/>
  <c r="AG85" i="12" s="1"/>
  <c r="AH85" i="12" s="1"/>
  <c r="AI85" i="12" s="1"/>
  <c r="AJ85" i="12" s="1"/>
  <c r="AK85" i="12" s="1"/>
  <c r="AL85" i="12" s="1"/>
  <c r="AM85" i="12" s="1"/>
  <c r="AN85" i="12" s="1"/>
  <c r="AO85" i="12" s="1"/>
  <c r="AP85" i="12" s="1"/>
  <c r="AQ85" i="12" s="1"/>
  <c r="AR85" i="12" s="1"/>
  <c r="AS85" i="12" s="1"/>
  <c r="V68" i="6"/>
  <c r="O3" i="6"/>
  <c r="AA73" i="6"/>
  <c r="R6" i="6"/>
  <c r="AF78" i="6"/>
  <c r="AC75" i="6"/>
  <c r="J47" i="1"/>
  <c r="AJ82" i="6"/>
  <c r="AE77" i="6"/>
  <c r="P4" i="6"/>
  <c r="Q5" i="6"/>
  <c r="AI81" i="6"/>
  <c r="P50" i="1"/>
  <c r="Q50" i="1"/>
  <c r="N50" i="1"/>
  <c r="O50" i="1"/>
  <c r="Z72" i="6"/>
  <c r="L49" i="1"/>
  <c r="K48" i="1"/>
  <c r="T66" i="6"/>
  <c r="AB74" i="6"/>
  <c r="W69" i="6"/>
  <c r="AG79" i="6"/>
  <c r="AK83" i="6"/>
  <c r="B83" i="12" s="1"/>
  <c r="Y71" i="6"/>
  <c r="X70" i="6"/>
  <c r="AD76" i="6"/>
  <c r="U67" i="6"/>
  <c r="S7" i="6"/>
  <c r="AH80" i="6"/>
  <c r="C83" i="12" l="1"/>
  <c r="D84" i="12"/>
  <c r="E84" i="12" s="1"/>
  <c r="F84" i="12" s="1"/>
  <c r="G84" i="12" s="1"/>
  <c r="H84" i="12" s="1"/>
  <c r="I84" i="12" s="1"/>
  <c r="J84" i="12" s="1"/>
  <c r="K84" i="12" s="1"/>
  <c r="L84" i="12" s="1"/>
  <c r="M84" i="12" s="1"/>
  <c r="N84" i="12" s="1"/>
  <c r="O84" i="12" s="1"/>
  <c r="P84" i="12" s="1"/>
  <c r="Q84" i="12" s="1"/>
  <c r="R84" i="12" s="1"/>
  <c r="S84" i="12" s="1"/>
  <c r="T84" i="12" s="1"/>
  <c r="U84" i="12" s="1"/>
  <c r="V84" i="12" s="1"/>
  <c r="W84" i="12" s="1"/>
  <c r="X84" i="12" s="1"/>
  <c r="Y84" i="12" s="1"/>
  <c r="Z84" i="12" s="1"/>
  <c r="AA84" i="12" s="1"/>
  <c r="AB84" i="12" s="1"/>
  <c r="AC84" i="12" s="1"/>
  <c r="AD84" i="12" s="1"/>
  <c r="AE84" i="12" s="1"/>
  <c r="AF84" i="12" s="1"/>
  <c r="AG84" i="12" s="1"/>
  <c r="AH84" i="12" s="1"/>
  <c r="AI84" i="12" s="1"/>
  <c r="AJ84" i="12" s="1"/>
  <c r="AK84" i="12" s="1"/>
  <c r="AL84" i="12" s="1"/>
  <c r="AM84" i="12" s="1"/>
  <c r="AN84" i="12" s="1"/>
  <c r="AO84" i="12" s="1"/>
  <c r="AP84" i="12" s="1"/>
  <c r="AQ84" i="12" s="1"/>
  <c r="AR84" i="12" s="1"/>
  <c r="AS84" i="12" s="1"/>
  <c r="J46" i="1"/>
  <c r="AB73" i="6"/>
  <c r="AH79" i="6"/>
  <c r="AG78" i="6"/>
  <c r="AI80" i="6"/>
  <c r="AA72" i="6"/>
  <c r="U66" i="6"/>
  <c r="X69" i="6"/>
  <c r="W68" i="6"/>
  <c r="Z71" i="6"/>
  <c r="M49" i="1"/>
  <c r="R5" i="6"/>
  <c r="V67" i="6"/>
  <c r="AE76" i="6"/>
  <c r="AC74" i="6"/>
  <c r="AF77" i="6"/>
  <c r="Y70" i="6"/>
  <c r="P3" i="6"/>
  <c r="Q4" i="6"/>
  <c r="T65" i="6"/>
  <c r="AJ81" i="6"/>
  <c r="S6" i="6"/>
  <c r="K47" i="1"/>
  <c r="L48" i="1"/>
  <c r="AK82" i="6"/>
  <c r="B82" i="12" s="1"/>
  <c r="AD75" i="6"/>
  <c r="C82" i="12" l="1"/>
  <c r="D83" i="12"/>
  <c r="E83" i="12" s="1"/>
  <c r="F83" i="12" s="1"/>
  <c r="G83" i="12" s="1"/>
  <c r="H83" i="12" s="1"/>
  <c r="I83" i="12" s="1"/>
  <c r="J83" i="12" s="1"/>
  <c r="K83" i="12" s="1"/>
  <c r="L83" i="12" s="1"/>
  <c r="M83" i="12" s="1"/>
  <c r="N83" i="12" s="1"/>
  <c r="O83" i="12" s="1"/>
  <c r="P83" i="12" s="1"/>
  <c r="Q83" i="12" s="1"/>
  <c r="R83" i="12" s="1"/>
  <c r="S83" i="12" s="1"/>
  <c r="T83" i="12" s="1"/>
  <c r="U83" i="12" s="1"/>
  <c r="V83" i="12" s="1"/>
  <c r="W83" i="12" s="1"/>
  <c r="X83" i="12" s="1"/>
  <c r="Y83" i="12" s="1"/>
  <c r="Z83" i="12" s="1"/>
  <c r="AA83" i="12" s="1"/>
  <c r="AB83" i="12" s="1"/>
  <c r="AC83" i="12" s="1"/>
  <c r="AD83" i="12" s="1"/>
  <c r="AE83" i="12" s="1"/>
  <c r="AF83" i="12" s="1"/>
  <c r="AG83" i="12" s="1"/>
  <c r="AH83" i="12" s="1"/>
  <c r="AI83" i="12" s="1"/>
  <c r="AJ83" i="12" s="1"/>
  <c r="AK83" i="12" s="1"/>
  <c r="AL83" i="12" s="1"/>
  <c r="AM83" i="12" s="1"/>
  <c r="AN83" i="12" s="1"/>
  <c r="AO83" i="12" s="1"/>
  <c r="AP83" i="12" s="1"/>
  <c r="AQ83" i="12" s="1"/>
  <c r="AR83" i="12" s="1"/>
  <c r="AS83" i="12" s="1"/>
  <c r="W67" i="6"/>
  <c r="AA71" i="6"/>
  <c r="S5" i="6"/>
  <c r="R4" i="6"/>
  <c r="AH78" i="6"/>
  <c r="AB72" i="6"/>
  <c r="AG77" i="6"/>
  <c r="AK81" i="6"/>
  <c r="B81" i="12" s="1"/>
  <c r="AC73" i="6"/>
  <c r="X68" i="6"/>
  <c r="Y69" i="6"/>
  <c r="V66" i="6"/>
  <c r="J45" i="1"/>
  <c r="T64" i="6"/>
  <c r="Q3" i="6"/>
  <c r="AE75" i="6"/>
  <c r="N49" i="1"/>
  <c r="O49" i="1"/>
  <c r="Q49" i="1"/>
  <c r="M48" i="1"/>
  <c r="P49" i="1"/>
  <c r="U65" i="6"/>
  <c r="AI79" i="6"/>
  <c r="AD74" i="6"/>
  <c r="K46" i="1"/>
  <c r="L47" i="1"/>
  <c r="AJ80" i="6"/>
  <c r="AF76" i="6"/>
  <c r="Z70" i="6"/>
  <c r="C81" i="12" l="1"/>
  <c r="D82" i="12"/>
  <c r="E82" i="12" s="1"/>
  <c r="F82" i="12" s="1"/>
  <c r="G82" i="12" s="1"/>
  <c r="H82" i="12" s="1"/>
  <c r="I82" i="12" s="1"/>
  <c r="J82" i="12" s="1"/>
  <c r="K82" i="12" s="1"/>
  <c r="L82" i="12" s="1"/>
  <c r="M82" i="12" s="1"/>
  <c r="N82" i="12" s="1"/>
  <c r="O82" i="12" s="1"/>
  <c r="P82" i="12" s="1"/>
  <c r="Q82" i="12" s="1"/>
  <c r="R82" i="12" s="1"/>
  <c r="S82" i="12" s="1"/>
  <c r="T82" i="12" s="1"/>
  <c r="U82" i="12" s="1"/>
  <c r="V82" i="12" s="1"/>
  <c r="W82" i="12" s="1"/>
  <c r="X82" i="12" s="1"/>
  <c r="Y82" i="12" s="1"/>
  <c r="Z82" i="12" s="1"/>
  <c r="AA82" i="12" s="1"/>
  <c r="AB82" i="12" s="1"/>
  <c r="AC82" i="12" s="1"/>
  <c r="AD82" i="12" s="1"/>
  <c r="AE82" i="12" s="1"/>
  <c r="AF82" i="12" s="1"/>
  <c r="AG82" i="12" s="1"/>
  <c r="AH82" i="12" s="1"/>
  <c r="AI82" i="12" s="1"/>
  <c r="AJ82" i="12" s="1"/>
  <c r="AK82" i="12" s="1"/>
  <c r="AL82" i="12" s="1"/>
  <c r="AM82" i="12" s="1"/>
  <c r="AN82" i="12" s="1"/>
  <c r="AO82" i="12" s="1"/>
  <c r="AP82" i="12" s="1"/>
  <c r="AQ82" i="12" s="1"/>
  <c r="AR82" i="12" s="1"/>
  <c r="AS82" i="12" s="1"/>
  <c r="R3" i="6"/>
  <c r="AB71" i="6"/>
  <c r="S4" i="6"/>
  <c r="AI78" i="6"/>
  <c r="U64" i="6"/>
  <c r="AJ79" i="6"/>
  <c r="T63" i="6"/>
  <c r="Y68" i="6"/>
  <c r="AG76" i="6"/>
  <c r="AH77" i="6"/>
  <c r="AF75" i="6"/>
  <c r="AA70" i="6"/>
  <c r="AE74" i="6"/>
  <c r="K45" i="1"/>
  <c r="L46" i="1"/>
  <c r="W66" i="6"/>
  <c r="Z69" i="6"/>
  <c r="J44" i="1"/>
  <c r="N48" i="1"/>
  <c r="O48" i="1"/>
  <c r="M47" i="1"/>
  <c r="Q48" i="1"/>
  <c r="P48" i="1"/>
  <c r="X67" i="6"/>
  <c r="AC72" i="6"/>
  <c r="AK80" i="6"/>
  <c r="B80" i="12" s="1"/>
  <c r="AD73" i="6"/>
  <c r="V65" i="6"/>
  <c r="C80" i="12" l="1"/>
  <c r="D81" i="12"/>
  <c r="E81" i="12" s="1"/>
  <c r="F81" i="12" s="1"/>
  <c r="G81" i="12" s="1"/>
  <c r="H81" i="12" s="1"/>
  <c r="I81" i="12" s="1"/>
  <c r="J81" i="12" s="1"/>
  <c r="K81" i="12" s="1"/>
  <c r="L81" i="12" s="1"/>
  <c r="M81" i="12" s="1"/>
  <c r="N81" i="12" s="1"/>
  <c r="O81" i="12" s="1"/>
  <c r="P81" i="12" s="1"/>
  <c r="Q81" i="12" s="1"/>
  <c r="R81" i="12" s="1"/>
  <c r="S81" i="12" s="1"/>
  <c r="T81" i="12" s="1"/>
  <c r="U81" i="12" s="1"/>
  <c r="V81" i="12" s="1"/>
  <c r="W81" i="12" s="1"/>
  <c r="X81" i="12" s="1"/>
  <c r="Y81" i="12" s="1"/>
  <c r="Z81" i="12" s="1"/>
  <c r="AA81" i="12" s="1"/>
  <c r="AB81" i="12" s="1"/>
  <c r="AC81" i="12" s="1"/>
  <c r="AD81" i="12" s="1"/>
  <c r="AE81" i="12" s="1"/>
  <c r="AF81" i="12" s="1"/>
  <c r="AG81" i="12" s="1"/>
  <c r="AH81" i="12" s="1"/>
  <c r="AI81" i="12" s="1"/>
  <c r="AJ81" i="12" s="1"/>
  <c r="AK81" i="12" s="1"/>
  <c r="AL81" i="12" s="1"/>
  <c r="AM81" i="12" s="1"/>
  <c r="AN81" i="12" s="1"/>
  <c r="AO81" i="12" s="1"/>
  <c r="AP81" i="12" s="1"/>
  <c r="AQ81" i="12" s="1"/>
  <c r="AR81" i="12" s="1"/>
  <c r="AS81" i="12" s="1"/>
  <c r="AG75" i="6"/>
  <c r="AC71" i="6"/>
  <c r="L45" i="1"/>
  <c r="K44" i="1"/>
  <c r="J43" i="1"/>
  <c r="X66" i="6"/>
  <c r="Y67" i="6"/>
  <c r="Z68" i="6"/>
  <c r="U63" i="6"/>
  <c r="O47" i="1"/>
  <c r="P47" i="1"/>
  <c r="M46" i="1"/>
  <c r="Q47" i="1"/>
  <c r="N47" i="1"/>
  <c r="V64" i="6"/>
  <c r="AE73" i="6"/>
  <c r="AA69" i="6"/>
  <c r="AH76" i="6"/>
  <c r="AB70" i="6"/>
  <c r="S3" i="6"/>
  <c r="AK79" i="6"/>
  <c r="B79" i="12" s="1"/>
  <c r="AJ78" i="6"/>
  <c r="AD72" i="6"/>
  <c r="W65" i="6"/>
  <c r="AF74" i="6"/>
  <c r="T62" i="6"/>
  <c r="AI77" i="6"/>
  <c r="C79" i="12" l="1"/>
  <c r="D80" i="12"/>
  <c r="E80" i="12" s="1"/>
  <c r="F80" i="12" s="1"/>
  <c r="G80" i="12" s="1"/>
  <c r="H80" i="12" s="1"/>
  <c r="I80" i="12" s="1"/>
  <c r="J80" i="12" s="1"/>
  <c r="K80" i="12" s="1"/>
  <c r="L80" i="12" s="1"/>
  <c r="M80" i="12" s="1"/>
  <c r="N80" i="12" s="1"/>
  <c r="O80" i="12" s="1"/>
  <c r="P80" i="12" s="1"/>
  <c r="Q80" i="12" s="1"/>
  <c r="R80" i="12" s="1"/>
  <c r="S80" i="12" s="1"/>
  <c r="T80" i="12" s="1"/>
  <c r="U80" i="12" s="1"/>
  <c r="V80" i="12" s="1"/>
  <c r="W80" i="12" s="1"/>
  <c r="X80" i="12" s="1"/>
  <c r="Y80" i="12" s="1"/>
  <c r="Z80" i="12" s="1"/>
  <c r="AA80" i="12" s="1"/>
  <c r="AB80" i="12" s="1"/>
  <c r="AC80" i="12" s="1"/>
  <c r="AD80" i="12" s="1"/>
  <c r="AE80" i="12" s="1"/>
  <c r="AF80" i="12" s="1"/>
  <c r="AG80" i="12" s="1"/>
  <c r="AH80" i="12" s="1"/>
  <c r="AI80" i="12" s="1"/>
  <c r="AJ80" i="12" s="1"/>
  <c r="AK80" i="12" s="1"/>
  <c r="AL80" i="12" s="1"/>
  <c r="AM80" i="12" s="1"/>
  <c r="AN80" i="12" s="1"/>
  <c r="AO80" i="12" s="1"/>
  <c r="AP80" i="12" s="1"/>
  <c r="AQ80" i="12" s="1"/>
  <c r="AR80" i="12" s="1"/>
  <c r="AS80" i="12" s="1"/>
  <c r="AK78" i="6"/>
  <c r="B78" i="12" s="1"/>
  <c r="Y66" i="6"/>
  <c r="AG74" i="6"/>
  <c r="AE72" i="6"/>
  <c r="U62" i="6"/>
  <c r="T61" i="6"/>
  <c r="AD71" i="6"/>
  <c r="X65" i="6"/>
  <c r="J42" i="1"/>
  <c r="AC70" i="6"/>
  <c r="AH75" i="6"/>
  <c r="P46" i="1"/>
  <c r="O46" i="1"/>
  <c r="M45" i="1"/>
  <c r="Q46" i="1"/>
  <c r="N46" i="1"/>
  <c r="AI76" i="6"/>
  <c r="AF73" i="6"/>
  <c r="AJ77" i="6"/>
  <c r="V63" i="6"/>
  <c r="Z67" i="6"/>
  <c r="W64" i="6"/>
  <c r="AB69" i="6"/>
  <c r="AA68" i="6"/>
  <c r="L44" i="1"/>
  <c r="K43" i="1"/>
  <c r="C78" i="12" l="1"/>
  <c r="D79" i="12"/>
  <c r="E79" i="12" s="1"/>
  <c r="F79" i="12" s="1"/>
  <c r="G79" i="12" s="1"/>
  <c r="H79" i="12" s="1"/>
  <c r="I79" i="12" s="1"/>
  <c r="J79" i="12" s="1"/>
  <c r="K79" i="12" s="1"/>
  <c r="L79" i="12" s="1"/>
  <c r="M79" i="12" s="1"/>
  <c r="N79" i="12" s="1"/>
  <c r="O79" i="12" s="1"/>
  <c r="P79" i="12" s="1"/>
  <c r="Q79" i="12" s="1"/>
  <c r="R79" i="12" s="1"/>
  <c r="S79" i="12" s="1"/>
  <c r="T79" i="12" s="1"/>
  <c r="U79" i="12" s="1"/>
  <c r="V79" i="12" s="1"/>
  <c r="W79" i="12" s="1"/>
  <c r="X79" i="12" s="1"/>
  <c r="Y79" i="12" s="1"/>
  <c r="Z79" i="12" s="1"/>
  <c r="AA79" i="12" s="1"/>
  <c r="AB79" i="12" s="1"/>
  <c r="AC79" i="12" s="1"/>
  <c r="AD79" i="12" s="1"/>
  <c r="AE79" i="12" s="1"/>
  <c r="AF79" i="12" s="1"/>
  <c r="AG79" i="12" s="1"/>
  <c r="AH79" i="12" s="1"/>
  <c r="AI79" i="12" s="1"/>
  <c r="AJ79" i="12" s="1"/>
  <c r="AK79" i="12" s="1"/>
  <c r="AL79" i="12" s="1"/>
  <c r="AM79" i="12" s="1"/>
  <c r="AN79" i="12" s="1"/>
  <c r="AO79" i="12" s="1"/>
  <c r="AP79" i="12" s="1"/>
  <c r="AQ79" i="12" s="1"/>
  <c r="AR79" i="12" s="1"/>
  <c r="AS79" i="12" s="1"/>
  <c r="W63" i="6"/>
  <c r="AJ76" i="6"/>
  <c r="AC69" i="6"/>
  <c r="AG73" i="6"/>
  <c r="P45" i="1"/>
  <c r="O45" i="1"/>
  <c r="Q45" i="1"/>
  <c r="M44" i="1"/>
  <c r="N45" i="1"/>
  <c r="AD70" i="6"/>
  <c r="AH74" i="6"/>
  <c r="AA67" i="6"/>
  <c r="AF72" i="6"/>
  <c r="J41" i="1"/>
  <c r="V62" i="6"/>
  <c r="T60" i="6"/>
  <c r="U61" i="6"/>
  <c r="AB68" i="6"/>
  <c r="AI75" i="6"/>
  <c r="AE71" i="6"/>
  <c r="Y65" i="6"/>
  <c r="K42" i="1"/>
  <c r="L43" i="1"/>
  <c r="Z66" i="6"/>
  <c r="X64" i="6"/>
  <c r="AK77" i="6"/>
  <c r="B77" i="12" s="1"/>
  <c r="C77" i="12" l="1"/>
  <c r="D78" i="12"/>
  <c r="E78" i="12" s="1"/>
  <c r="F78" i="12" s="1"/>
  <c r="G78" i="12" s="1"/>
  <c r="H78" i="12" s="1"/>
  <c r="I78" i="12" s="1"/>
  <c r="J78" i="12" s="1"/>
  <c r="K78" i="12" s="1"/>
  <c r="L78" i="12" s="1"/>
  <c r="M78" i="12" s="1"/>
  <c r="N78" i="12" s="1"/>
  <c r="O78" i="12" s="1"/>
  <c r="P78" i="12" s="1"/>
  <c r="Q78" i="12" s="1"/>
  <c r="R78" i="12" s="1"/>
  <c r="S78" i="12" s="1"/>
  <c r="T78" i="12" s="1"/>
  <c r="U78" i="12" s="1"/>
  <c r="V78" i="12" s="1"/>
  <c r="W78" i="12" s="1"/>
  <c r="X78" i="12" s="1"/>
  <c r="Y78" i="12" s="1"/>
  <c r="Z78" i="12" s="1"/>
  <c r="AA78" i="12" s="1"/>
  <c r="AB78" i="12" s="1"/>
  <c r="AC78" i="12" s="1"/>
  <c r="AD78" i="12" s="1"/>
  <c r="AE78" i="12" s="1"/>
  <c r="AF78" i="12" s="1"/>
  <c r="AG78" i="12" s="1"/>
  <c r="AH78" i="12" s="1"/>
  <c r="AI78" i="12" s="1"/>
  <c r="AJ78" i="12" s="1"/>
  <c r="AK78" i="12" s="1"/>
  <c r="AL78" i="12" s="1"/>
  <c r="AM78" i="12" s="1"/>
  <c r="AN78" i="12" s="1"/>
  <c r="AO78" i="12" s="1"/>
  <c r="AP78" i="12" s="1"/>
  <c r="AQ78" i="12" s="1"/>
  <c r="AR78" i="12" s="1"/>
  <c r="AS78" i="12" s="1"/>
  <c r="Y64" i="6"/>
  <c r="AA66" i="6"/>
  <c r="J40" i="1"/>
  <c r="AG72" i="6"/>
  <c r="L42" i="1"/>
  <c r="K41" i="1"/>
  <c r="AE70" i="6"/>
  <c r="AI74" i="6"/>
  <c r="V61" i="6"/>
  <c r="AH73" i="6"/>
  <c r="W62" i="6"/>
  <c r="X63" i="6"/>
  <c r="AK76" i="6"/>
  <c r="B76" i="12" s="1"/>
  <c r="Z65" i="6"/>
  <c r="O44" i="1"/>
  <c r="M43" i="1"/>
  <c r="N44" i="1"/>
  <c r="P44" i="1"/>
  <c r="Q44" i="1"/>
  <c r="AJ75" i="6"/>
  <c r="U60" i="6"/>
  <c r="AB67" i="6"/>
  <c r="AF71" i="6"/>
  <c r="T59" i="6"/>
  <c r="AD69" i="6"/>
  <c r="AC68" i="6"/>
  <c r="C76" i="12" l="1"/>
  <c r="D77" i="12"/>
  <c r="E77" i="12" s="1"/>
  <c r="F77" i="12" s="1"/>
  <c r="G77" i="12" s="1"/>
  <c r="H77" i="12" s="1"/>
  <c r="I77" i="12" s="1"/>
  <c r="J77" i="12" s="1"/>
  <c r="K77" i="12" s="1"/>
  <c r="L77" i="12" s="1"/>
  <c r="M77" i="12" s="1"/>
  <c r="N77" i="12" s="1"/>
  <c r="O77" i="12" s="1"/>
  <c r="P77" i="12" s="1"/>
  <c r="Q77" i="12" s="1"/>
  <c r="R77" i="12" s="1"/>
  <c r="S77" i="12" s="1"/>
  <c r="T77" i="12" s="1"/>
  <c r="U77" i="12" s="1"/>
  <c r="V77" i="12" s="1"/>
  <c r="W77" i="12" s="1"/>
  <c r="X77" i="12" s="1"/>
  <c r="Y77" i="12" s="1"/>
  <c r="Z77" i="12" s="1"/>
  <c r="AA77" i="12" s="1"/>
  <c r="AB77" i="12" s="1"/>
  <c r="AC77" i="12" s="1"/>
  <c r="AD77" i="12" s="1"/>
  <c r="AE77" i="12" s="1"/>
  <c r="AF77" i="12" s="1"/>
  <c r="AG77" i="12" s="1"/>
  <c r="AH77" i="12" s="1"/>
  <c r="AI77" i="12" s="1"/>
  <c r="AJ77" i="12" s="1"/>
  <c r="AK77" i="12" s="1"/>
  <c r="AL77" i="12" s="1"/>
  <c r="AM77" i="12" s="1"/>
  <c r="AN77" i="12" s="1"/>
  <c r="AO77" i="12" s="1"/>
  <c r="AP77" i="12" s="1"/>
  <c r="AQ77" i="12" s="1"/>
  <c r="AR77" i="12" s="1"/>
  <c r="AS77" i="12" s="1"/>
  <c r="AG71" i="6"/>
  <c r="AC67" i="6"/>
  <c r="U59" i="6"/>
  <c r="P43" i="1"/>
  <c r="N43" i="1"/>
  <c r="Q43" i="1"/>
  <c r="O43" i="1"/>
  <c r="M42" i="1"/>
  <c r="Z64" i="6"/>
  <c r="AI73" i="6"/>
  <c r="AD68" i="6"/>
  <c r="T58" i="6"/>
  <c r="AB66" i="6"/>
  <c r="J39" i="1"/>
  <c r="Y63" i="6"/>
  <c r="W61" i="6"/>
  <c r="AH72" i="6"/>
  <c r="AE69" i="6"/>
  <c r="X62" i="6"/>
  <c r="L41" i="1"/>
  <c r="K40" i="1"/>
  <c r="AJ74" i="6"/>
  <c r="AF70" i="6"/>
  <c r="V60" i="6"/>
  <c r="AK75" i="6"/>
  <c r="B75" i="12" s="1"/>
  <c r="AA65" i="6"/>
  <c r="C75" i="12" l="1"/>
  <c r="D76" i="12"/>
  <c r="E76" i="12" s="1"/>
  <c r="F76" i="12" s="1"/>
  <c r="G76" i="12" s="1"/>
  <c r="H76" i="12" s="1"/>
  <c r="I76" i="12" s="1"/>
  <c r="J76" i="12" s="1"/>
  <c r="K76" i="12" s="1"/>
  <c r="L76" i="12" s="1"/>
  <c r="M76" i="12" s="1"/>
  <c r="N76" i="12" s="1"/>
  <c r="O76" i="12" s="1"/>
  <c r="P76" i="12" s="1"/>
  <c r="Q76" i="12" s="1"/>
  <c r="R76" i="12" s="1"/>
  <c r="S76" i="12" s="1"/>
  <c r="T76" i="12" s="1"/>
  <c r="U76" i="12" s="1"/>
  <c r="V76" i="12" s="1"/>
  <c r="W76" i="12" s="1"/>
  <c r="X76" i="12" s="1"/>
  <c r="Y76" i="12" s="1"/>
  <c r="Z76" i="12" s="1"/>
  <c r="AA76" i="12" s="1"/>
  <c r="AB76" i="12" s="1"/>
  <c r="AC76" i="12" s="1"/>
  <c r="AD76" i="12" s="1"/>
  <c r="AE76" i="12" s="1"/>
  <c r="AF76" i="12" s="1"/>
  <c r="AG76" i="12" s="1"/>
  <c r="AH76" i="12" s="1"/>
  <c r="AI76" i="12" s="1"/>
  <c r="AJ76" i="12" s="1"/>
  <c r="AK76" i="12" s="1"/>
  <c r="AL76" i="12" s="1"/>
  <c r="AM76" i="12" s="1"/>
  <c r="AN76" i="12" s="1"/>
  <c r="AO76" i="12" s="1"/>
  <c r="AP76" i="12" s="1"/>
  <c r="AQ76" i="12" s="1"/>
  <c r="AR76" i="12" s="1"/>
  <c r="AS76" i="12" s="1"/>
  <c r="X61" i="6"/>
  <c r="AH71" i="6"/>
  <c r="T57" i="6"/>
  <c r="AF69" i="6"/>
  <c r="AJ73" i="6"/>
  <c r="Y62" i="6"/>
  <c r="W60" i="6"/>
  <c r="V59" i="6"/>
  <c r="AB65" i="6"/>
  <c r="AD67" i="6"/>
  <c r="J38" i="1"/>
  <c r="AI72" i="6"/>
  <c r="Z63" i="6"/>
  <c r="AA64" i="6"/>
  <c r="AK74" i="6"/>
  <c r="B74" i="12" s="1"/>
  <c r="AC66" i="6"/>
  <c r="AG70" i="6"/>
  <c r="L40" i="1"/>
  <c r="K39" i="1"/>
  <c r="AE68" i="6"/>
  <c r="M41" i="1"/>
  <c r="P42" i="1"/>
  <c r="N42" i="1"/>
  <c r="O42" i="1"/>
  <c r="Q42" i="1"/>
  <c r="U58" i="6"/>
  <c r="C74" i="12" l="1"/>
  <c r="D75" i="12"/>
  <c r="E75" i="12" s="1"/>
  <c r="F75" i="12" s="1"/>
  <c r="G75" i="12" s="1"/>
  <c r="H75" i="12" s="1"/>
  <c r="I75" i="12" s="1"/>
  <c r="J75" i="12" s="1"/>
  <c r="K75" i="12" s="1"/>
  <c r="L75" i="12" s="1"/>
  <c r="M75" i="12" s="1"/>
  <c r="N75" i="12" s="1"/>
  <c r="O75" i="12" s="1"/>
  <c r="P75" i="12" s="1"/>
  <c r="Q75" i="12" s="1"/>
  <c r="R75" i="12" s="1"/>
  <c r="S75" i="12" s="1"/>
  <c r="T75" i="12" s="1"/>
  <c r="U75" i="12" s="1"/>
  <c r="V75" i="12" s="1"/>
  <c r="W75" i="12" s="1"/>
  <c r="X75" i="12" s="1"/>
  <c r="Y75" i="12" s="1"/>
  <c r="Z75" i="12" s="1"/>
  <c r="AA75" i="12" s="1"/>
  <c r="AB75" i="12" s="1"/>
  <c r="AC75" i="12" s="1"/>
  <c r="AD75" i="12" s="1"/>
  <c r="AE75" i="12" s="1"/>
  <c r="AF75" i="12" s="1"/>
  <c r="AG75" i="12" s="1"/>
  <c r="AH75" i="12" s="1"/>
  <c r="AI75" i="12" s="1"/>
  <c r="AJ75" i="12" s="1"/>
  <c r="AK75" i="12" s="1"/>
  <c r="AL75" i="12" s="1"/>
  <c r="AM75" i="12" s="1"/>
  <c r="AN75" i="12" s="1"/>
  <c r="AO75" i="12" s="1"/>
  <c r="AP75" i="12" s="1"/>
  <c r="AQ75" i="12" s="1"/>
  <c r="AR75" i="12" s="1"/>
  <c r="AS75" i="12" s="1"/>
  <c r="L39" i="1"/>
  <c r="K38" i="1"/>
  <c r="AD66" i="6"/>
  <c r="W59" i="6"/>
  <c r="AJ72" i="6"/>
  <c r="M40" i="1"/>
  <c r="O41" i="1"/>
  <c r="P41" i="1"/>
  <c r="Q41" i="1"/>
  <c r="N41" i="1"/>
  <c r="AI71" i="6"/>
  <c r="AB64" i="6"/>
  <c r="Y61" i="6"/>
  <c r="X60" i="6"/>
  <c r="AG69" i="6"/>
  <c r="AK73" i="6"/>
  <c r="B73" i="12" s="1"/>
  <c r="U57" i="6"/>
  <c r="AC65" i="6"/>
  <c r="AA63" i="6"/>
  <c r="J37" i="1"/>
  <c r="AF68" i="6"/>
  <c r="V58" i="6"/>
  <c r="AE67" i="6"/>
  <c r="Z62" i="6"/>
  <c r="T56" i="6"/>
  <c r="AH70" i="6"/>
  <c r="C73" i="12" l="1"/>
  <c r="D74" i="12"/>
  <c r="E74" i="12" s="1"/>
  <c r="F74" i="12" s="1"/>
  <c r="G74" i="12" s="1"/>
  <c r="H74" i="12" s="1"/>
  <c r="I74" i="12" s="1"/>
  <c r="J74" i="12" s="1"/>
  <c r="K74" i="12" s="1"/>
  <c r="L74" i="12" s="1"/>
  <c r="M74" i="12" s="1"/>
  <c r="N74" i="12" s="1"/>
  <c r="O74" i="12" s="1"/>
  <c r="P74" i="12" s="1"/>
  <c r="Q74" i="12" s="1"/>
  <c r="R74" i="12" s="1"/>
  <c r="S74" i="12" s="1"/>
  <c r="T74" i="12" s="1"/>
  <c r="U74" i="12" s="1"/>
  <c r="V74" i="12" s="1"/>
  <c r="W74" i="12" s="1"/>
  <c r="X74" i="12" s="1"/>
  <c r="Y74" i="12" s="1"/>
  <c r="Z74" i="12" s="1"/>
  <c r="AA74" i="12" s="1"/>
  <c r="AB74" i="12" s="1"/>
  <c r="AC74" i="12" s="1"/>
  <c r="AD74" i="12" s="1"/>
  <c r="AE74" i="12" s="1"/>
  <c r="AF74" i="12" s="1"/>
  <c r="AG74" i="12" s="1"/>
  <c r="AH74" i="12" s="1"/>
  <c r="AI74" i="12" s="1"/>
  <c r="AJ74" i="12" s="1"/>
  <c r="AK74" i="12" s="1"/>
  <c r="AL74" i="12" s="1"/>
  <c r="AM74" i="12" s="1"/>
  <c r="AN74" i="12" s="1"/>
  <c r="AO74" i="12" s="1"/>
  <c r="AP74" i="12" s="1"/>
  <c r="AQ74" i="12" s="1"/>
  <c r="AR74" i="12" s="1"/>
  <c r="AS74" i="12" s="1"/>
  <c r="AA62" i="6"/>
  <c r="AG68" i="6"/>
  <c r="Y60" i="6"/>
  <c r="AI70" i="6"/>
  <c r="W58" i="6"/>
  <c r="AC64" i="6"/>
  <c r="AE66" i="6"/>
  <c r="K37" i="1"/>
  <c r="L38" i="1"/>
  <c r="V57" i="6"/>
  <c r="X59" i="6"/>
  <c r="Z61" i="6"/>
  <c r="AH69" i="6"/>
  <c r="AF67" i="6"/>
  <c r="T55" i="6"/>
  <c r="J36" i="1"/>
  <c r="AB63" i="6"/>
  <c r="U56" i="6"/>
  <c r="AK72" i="6"/>
  <c r="B72" i="12" s="1"/>
  <c r="AD65" i="6"/>
  <c r="M39" i="1"/>
  <c r="Q40" i="1"/>
  <c r="N40" i="1"/>
  <c r="P40" i="1"/>
  <c r="O40" i="1"/>
  <c r="AJ71" i="6"/>
  <c r="C72" i="12" l="1"/>
  <c r="D73" i="12"/>
  <c r="E73" i="12" s="1"/>
  <c r="F73" i="12" s="1"/>
  <c r="G73" i="12" s="1"/>
  <c r="H73" i="12" s="1"/>
  <c r="I73" i="12" s="1"/>
  <c r="J73" i="12" s="1"/>
  <c r="K73" i="12" s="1"/>
  <c r="L73" i="12" s="1"/>
  <c r="M73" i="12" s="1"/>
  <c r="N73" i="12" s="1"/>
  <c r="O73" i="12" s="1"/>
  <c r="P73" i="12" s="1"/>
  <c r="Q73" i="12" s="1"/>
  <c r="R73" i="12" s="1"/>
  <c r="S73" i="12" s="1"/>
  <c r="T73" i="12" s="1"/>
  <c r="U73" i="12" s="1"/>
  <c r="V73" i="12" s="1"/>
  <c r="W73" i="12" s="1"/>
  <c r="X73" i="12" s="1"/>
  <c r="Y73" i="12" s="1"/>
  <c r="Z73" i="12" s="1"/>
  <c r="AA73" i="12" s="1"/>
  <c r="AB73" i="12" s="1"/>
  <c r="AC73" i="12" s="1"/>
  <c r="AD73" i="12" s="1"/>
  <c r="AE73" i="12" s="1"/>
  <c r="AF73" i="12" s="1"/>
  <c r="AG73" i="12" s="1"/>
  <c r="AH73" i="12" s="1"/>
  <c r="AI73" i="12" s="1"/>
  <c r="AJ73" i="12" s="1"/>
  <c r="AK73" i="12" s="1"/>
  <c r="AL73" i="12" s="1"/>
  <c r="AM73" i="12" s="1"/>
  <c r="AN73" i="12" s="1"/>
  <c r="AO73" i="12" s="1"/>
  <c r="AP73" i="12" s="1"/>
  <c r="AQ73" i="12" s="1"/>
  <c r="AR73" i="12" s="1"/>
  <c r="AS73" i="12" s="1"/>
  <c r="AG67" i="6"/>
  <c r="L37" i="1"/>
  <c r="K36" i="1"/>
  <c r="X58" i="6"/>
  <c r="AJ70" i="6"/>
  <c r="AK71" i="6"/>
  <c r="B71" i="12" s="1"/>
  <c r="T54" i="6"/>
  <c r="AA61" i="6"/>
  <c r="P39" i="1"/>
  <c r="O39" i="1"/>
  <c r="Q39" i="1"/>
  <c r="N39" i="1"/>
  <c r="M38" i="1"/>
  <c r="AD64" i="6"/>
  <c r="U55" i="6"/>
  <c r="J35" i="1"/>
  <c r="AE65" i="6"/>
  <c r="AI69" i="6"/>
  <c r="AF66" i="6"/>
  <c r="AH68" i="6"/>
  <c r="AB62" i="6"/>
  <c r="Z60" i="6"/>
  <c r="V56" i="6"/>
  <c r="AC63" i="6"/>
  <c r="Y59" i="6"/>
  <c r="W57" i="6"/>
  <c r="C71" i="12" l="1"/>
  <c r="D72" i="12"/>
  <c r="E72" i="12" s="1"/>
  <c r="F72" i="12" s="1"/>
  <c r="G72" i="12" s="1"/>
  <c r="H72" i="12" s="1"/>
  <c r="I72" i="12" s="1"/>
  <c r="J72" i="12" s="1"/>
  <c r="K72" i="12" s="1"/>
  <c r="L72" i="12" s="1"/>
  <c r="M72" i="12" s="1"/>
  <c r="N72" i="12" s="1"/>
  <c r="O72" i="12" s="1"/>
  <c r="P72" i="12" s="1"/>
  <c r="Q72" i="12" s="1"/>
  <c r="R72" i="12" s="1"/>
  <c r="S72" i="12" s="1"/>
  <c r="T72" i="12" s="1"/>
  <c r="U72" i="12" s="1"/>
  <c r="V72" i="12" s="1"/>
  <c r="W72" i="12" s="1"/>
  <c r="X72" i="12" s="1"/>
  <c r="Y72" i="12" s="1"/>
  <c r="Z72" i="12" s="1"/>
  <c r="AA72" i="12" s="1"/>
  <c r="AB72" i="12" s="1"/>
  <c r="AC72" i="12" s="1"/>
  <c r="AD72" i="12" s="1"/>
  <c r="AE72" i="12" s="1"/>
  <c r="AF72" i="12" s="1"/>
  <c r="AG72" i="12" s="1"/>
  <c r="AH72" i="12" s="1"/>
  <c r="AI72" i="12" s="1"/>
  <c r="AJ72" i="12" s="1"/>
  <c r="AK72" i="12" s="1"/>
  <c r="AL72" i="12" s="1"/>
  <c r="AM72" i="12" s="1"/>
  <c r="AN72" i="12" s="1"/>
  <c r="AO72" i="12" s="1"/>
  <c r="AP72" i="12" s="1"/>
  <c r="AQ72" i="12" s="1"/>
  <c r="AR72" i="12" s="1"/>
  <c r="AS72" i="12" s="1"/>
  <c r="AE64" i="6"/>
  <c r="U54" i="6"/>
  <c r="X57" i="6"/>
  <c r="W56" i="6"/>
  <c r="AC62" i="6"/>
  <c r="AB61" i="6"/>
  <c r="AH67" i="6"/>
  <c r="AI68" i="6"/>
  <c r="AD63" i="6"/>
  <c r="AJ69" i="6"/>
  <c r="Y58" i="6"/>
  <c r="V55" i="6"/>
  <c r="AF65" i="6"/>
  <c r="T53" i="6"/>
  <c r="AK70" i="6"/>
  <c r="B70" i="12" s="1"/>
  <c r="J34" i="1"/>
  <c r="AG66" i="6"/>
  <c r="AA60" i="6"/>
  <c r="Z59" i="6"/>
  <c r="P38" i="1"/>
  <c r="Q38" i="1"/>
  <c r="M37" i="1"/>
  <c r="N38" i="1"/>
  <c r="O38" i="1"/>
  <c r="L36" i="1"/>
  <c r="K35" i="1"/>
  <c r="C70" i="12" l="1"/>
  <c r="D71" i="12"/>
  <c r="E71" i="12" s="1"/>
  <c r="F71" i="12" s="1"/>
  <c r="G71" i="12" s="1"/>
  <c r="H71" i="12" s="1"/>
  <c r="I71" i="12" s="1"/>
  <c r="J71" i="12" s="1"/>
  <c r="K71" i="12" s="1"/>
  <c r="L71" i="12" s="1"/>
  <c r="M71" i="12" s="1"/>
  <c r="N71" i="12" s="1"/>
  <c r="O71" i="12" s="1"/>
  <c r="P71" i="12" s="1"/>
  <c r="Q71" i="12" s="1"/>
  <c r="R71" i="12" s="1"/>
  <c r="S71" i="12" s="1"/>
  <c r="T71" i="12" s="1"/>
  <c r="U71" i="12" s="1"/>
  <c r="V71" i="12" s="1"/>
  <c r="W71" i="12" s="1"/>
  <c r="X71" i="12" s="1"/>
  <c r="Y71" i="12" s="1"/>
  <c r="Z71" i="12" s="1"/>
  <c r="AA71" i="12" s="1"/>
  <c r="AB71" i="12" s="1"/>
  <c r="AC71" i="12" s="1"/>
  <c r="AD71" i="12" s="1"/>
  <c r="AE71" i="12" s="1"/>
  <c r="AF71" i="12" s="1"/>
  <c r="AG71" i="12" s="1"/>
  <c r="AH71" i="12" s="1"/>
  <c r="AI71" i="12" s="1"/>
  <c r="AJ71" i="12" s="1"/>
  <c r="AK71" i="12" s="1"/>
  <c r="AL71" i="12" s="1"/>
  <c r="AM71" i="12" s="1"/>
  <c r="AN71" i="12" s="1"/>
  <c r="AO71" i="12" s="1"/>
  <c r="AP71" i="12" s="1"/>
  <c r="AQ71" i="12" s="1"/>
  <c r="AR71" i="12" s="1"/>
  <c r="AS71" i="12" s="1"/>
  <c r="AJ68" i="6"/>
  <c r="X56" i="6"/>
  <c r="K34" i="1"/>
  <c r="L35" i="1"/>
  <c r="AD62" i="6"/>
  <c r="P37" i="1"/>
  <c r="M36" i="1"/>
  <c r="N37" i="1"/>
  <c r="Q37" i="1"/>
  <c r="O37" i="1"/>
  <c r="AG65" i="6"/>
  <c r="AF64" i="6"/>
  <c r="Y57" i="6"/>
  <c r="AB60" i="6"/>
  <c r="AK69" i="6"/>
  <c r="B69" i="12" s="1"/>
  <c r="AI67" i="6"/>
  <c r="AC61" i="6"/>
  <c r="V54" i="6"/>
  <c r="Z58" i="6"/>
  <c r="J33" i="1"/>
  <c r="AE63" i="6"/>
  <c r="T52" i="6"/>
  <c r="U53" i="6"/>
  <c r="AA59" i="6"/>
  <c r="AH66" i="6"/>
  <c r="W55" i="6"/>
  <c r="C69" i="12" l="1"/>
  <c r="D70" i="12"/>
  <c r="E70" i="12" s="1"/>
  <c r="F70" i="12" s="1"/>
  <c r="G70" i="12" s="1"/>
  <c r="H70" i="12" s="1"/>
  <c r="I70" i="12" s="1"/>
  <c r="J70" i="12" s="1"/>
  <c r="K70" i="12" s="1"/>
  <c r="L70" i="12" s="1"/>
  <c r="M70" i="12" s="1"/>
  <c r="N70" i="12" s="1"/>
  <c r="O70" i="12" s="1"/>
  <c r="P70" i="12" s="1"/>
  <c r="Q70" i="12" s="1"/>
  <c r="R70" i="12" s="1"/>
  <c r="S70" i="12" s="1"/>
  <c r="T70" i="12" s="1"/>
  <c r="U70" i="12" s="1"/>
  <c r="V70" i="12" s="1"/>
  <c r="W70" i="12" s="1"/>
  <c r="X70" i="12" s="1"/>
  <c r="Y70" i="12" s="1"/>
  <c r="Z70" i="12" s="1"/>
  <c r="AA70" i="12" s="1"/>
  <c r="AB70" i="12" s="1"/>
  <c r="AC70" i="12" s="1"/>
  <c r="AD70" i="12" s="1"/>
  <c r="AE70" i="12" s="1"/>
  <c r="AF70" i="12" s="1"/>
  <c r="AG70" i="12" s="1"/>
  <c r="AH70" i="12" s="1"/>
  <c r="AI70" i="12" s="1"/>
  <c r="AJ70" i="12" s="1"/>
  <c r="AK70" i="12" s="1"/>
  <c r="AL70" i="12" s="1"/>
  <c r="AM70" i="12" s="1"/>
  <c r="AN70" i="12" s="1"/>
  <c r="AO70" i="12" s="1"/>
  <c r="AP70" i="12" s="1"/>
  <c r="AQ70" i="12" s="1"/>
  <c r="AR70" i="12" s="1"/>
  <c r="AS70" i="12" s="1"/>
  <c r="V53" i="6"/>
  <c r="AG64" i="6"/>
  <c r="Z57" i="6"/>
  <c r="AI66" i="6"/>
  <c r="L34" i="1"/>
  <c r="K33" i="1"/>
  <c r="AH65" i="6"/>
  <c r="T51" i="6"/>
  <c r="AA58" i="6"/>
  <c r="AJ67" i="6"/>
  <c r="AB59" i="6"/>
  <c r="X55" i="6"/>
  <c r="W54" i="6"/>
  <c r="U52" i="6"/>
  <c r="AD61" i="6"/>
  <c r="AF63" i="6"/>
  <c r="AE62" i="6"/>
  <c r="J32" i="1"/>
  <c r="AK68" i="6"/>
  <c r="B68" i="12" s="1"/>
  <c r="P36" i="1"/>
  <c r="O36" i="1"/>
  <c r="Q36" i="1"/>
  <c r="M35" i="1"/>
  <c r="N36" i="1"/>
  <c r="AC60" i="6"/>
  <c r="Y56" i="6"/>
  <c r="C68" i="12" l="1"/>
  <c r="D69" i="12"/>
  <c r="E69" i="12" s="1"/>
  <c r="F69" i="12" s="1"/>
  <c r="G69" i="12" s="1"/>
  <c r="H69" i="12" s="1"/>
  <c r="I69" i="12" s="1"/>
  <c r="J69" i="12" s="1"/>
  <c r="K69" i="12" s="1"/>
  <c r="L69" i="12" s="1"/>
  <c r="M69" i="12" s="1"/>
  <c r="N69" i="12" s="1"/>
  <c r="O69" i="12" s="1"/>
  <c r="P69" i="12" s="1"/>
  <c r="Q69" i="12" s="1"/>
  <c r="R69" i="12" s="1"/>
  <c r="S69" i="12" s="1"/>
  <c r="T69" i="12" s="1"/>
  <c r="U69" i="12" s="1"/>
  <c r="V69" i="12" s="1"/>
  <c r="W69" i="12" s="1"/>
  <c r="X69" i="12" s="1"/>
  <c r="Y69" i="12" s="1"/>
  <c r="Z69" i="12" s="1"/>
  <c r="AA69" i="12" s="1"/>
  <c r="AB69" i="12" s="1"/>
  <c r="AC69" i="12" s="1"/>
  <c r="AD69" i="12" s="1"/>
  <c r="AE69" i="12" s="1"/>
  <c r="AF69" i="12" s="1"/>
  <c r="AG69" i="12" s="1"/>
  <c r="AH69" i="12" s="1"/>
  <c r="AI69" i="12" s="1"/>
  <c r="AJ69" i="12" s="1"/>
  <c r="AK69" i="12" s="1"/>
  <c r="AL69" i="12" s="1"/>
  <c r="AM69" i="12" s="1"/>
  <c r="AN69" i="12" s="1"/>
  <c r="AO69" i="12" s="1"/>
  <c r="AP69" i="12" s="1"/>
  <c r="AQ69" i="12" s="1"/>
  <c r="AR69" i="12" s="1"/>
  <c r="AS69" i="12" s="1"/>
  <c r="AH64" i="6"/>
  <c r="J31" i="1"/>
  <c r="W53" i="6"/>
  <c r="AB58" i="6"/>
  <c r="AD60" i="6"/>
  <c r="AG63" i="6"/>
  <c r="AE61" i="6"/>
  <c r="AI65" i="6"/>
  <c r="AF62" i="6"/>
  <c r="U51" i="6"/>
  <c r="K32" i="1"/>
  <c r="L33" i="1"/>
  <c r="V52" i="6"/>
  <c r="Z56" i="6"/>
  <c r="X54" i="6"/>
  <c r="AA57" i="6"/>
  <c r="T50" i="6"/>
  <c r="Y55" i="6"/>
  <c r="AC59" i="6"/>
  <c r="P35" i="1"/>
  <c r="O35" i="1"/>
  <c r="Q35" i="1"/>
  <c r="N35" i="1"/>
  <c r="M34" i="1"/>
  <c r="AK67" i="6"/>
  <c r="B67" i="12" s="1"/>
  <c r="AJ66" i="6"/>
  <c r="C67" i="12" l="1"/>
  <c r="D68" i="12"/>
  <c r="E68" i="12" s="1"/>
  <c r="F68" i="12" s="1"/>
  <c r="G68" i="12" s="1"/>
  <c r="H68" i="12" s="1"/>
  <c r="I68" i="12" s="1"/>
  <c r="J68" i="12" s="1"/>
  <c r="K68" i="12" s="1"/>
  <c r="L68" i="12" s="1"/>
  <c r="M68" i="12" s="1"/>
  <c r="N68" i="12" s="1"/>
  <c r="O68" i="12" s="1"/>
  <c r="P68" i="12" s="1"/>
  <c r="Q68" i="12" s="1"/>
  <c r="R68" i="12" s="1"/>
  <c r="S68" i="12" s="1"/>
  <c r="T68" i="12" s="1"/>
  <c r="U68" i="12" s="1"/>
  <c r="V68" i="12" s="1"/>
  <c r="W68" i="12" s="1"/>
  <c r="X68" i="12" s="1"/>
  <c r="Y68" i="12" s="1"/>
  <c r="Z68" i="12" s="1"/>
  <c r="AA68" i="12" s="1"/>
  <c r="AB68" i="12" s="1"/>
  <c r="AC68" i="12" s="1"/>
  <c r="AD68" i="12" s="1"/>
  <c r="AE68" i="12" s="1"/>
  <c r="AF68" i="12" s="1"/>
  <c r="AG68" i="12" s="1"/>
  <c r="AH68" i="12" s="1"/>
  <c r="AI68" i="12" s="1"/>
  <c r="AJ68" i="12" s="1"/>
  <c r="AK68" i="12" s="1"/>
  <c r="AL68" i="12" s="1"/>
  <c r="AM68" i="12" s="1"/>
  <c r="AN68" i="12" s="1"/>
  <c r="AO68" i="12" s="1"/>
  <c r="AP68" i="12" s="1"/>
  <c r="AQ68" i="12" s="1"/>
  <c r="AR68" i="12" s="1"/>
  <c r="AS68" i="12" s="1"/>
  <c r="Y54" i="6"/>
  <c r="AB57" i="6"/>
  <c r="AF61" i="6"/>
  <c r="J30" i="1"/>
  <c r="U50" i="6"/>
  <c r="AG62" i="6"/>
  <c r="AH63" i="6"/>
  <c r="AA56" i="6"/>
  <c r="T49" i="6"/>
  <c r="AJ65" i="6"/>
  <c r="AK66" i="6"/>
  <c r="B66" i="12" s="1"/>
  <c r="AC58" i="6"/>
  <c r="AI64" i="6"/>
  <c r="W52" i="6"/>
  <c r="X53" i="6"/>
  <c r="K31" i="1"/>
  <c r="L32" i="1"/>
  <c r="Q34" i="1"/>
  <c r="N34" i="1"/>
  <c r="M33" i="1"/>
  <c r="P34" i="1"/>
  <c r="O34" i="1"/>
  <c r="Z55" i="6"/>
  <c r="V51" i="6"/>
  <c r="AE60" i="6"/>
  <c r="AD59" i="6"/>
  <c r="C66" i="12" l="1"/>
  <c r="D67" i="12"/>
  <c r="E67" i="12" s="1"/>
  <c r="F67" i="12" s="1"/>
  <c r="G67" i="12" s="1"/>
  <c r="H67" i="12" s="1"/>
  <c r="I67" i="12" s="1"/>
  <c r="J67" i="12" s="1"/>
  <c r="K67" i="12" s="1"/>
  <c r="L67" i="12" s="1"/>
  <c r="M67" i="12" s="1"/>
  <c r="N67" i="12" s="1"/>
  <c r="O67" i="12" s="1"/>
  <c r="P67" i="12" s="1"/>
  <c r="Q67" i="12" s="1"/>
  <c r="R67" i="12" s="1"/>
  <c r="S67" i="12" s="1"/>
  <c r="T67" i="12" s="1"/>
  <c r="U67" i="12" s="1"/>
  <c r="V67" i="12" s="1"/>
  <c r="W67" i="12" s="1"/>
  <c r="X67" i="12" s="1"/>
  <c r="Y67" i="12" s="1"/>
  <c r="Z67" i="12" s="1"/>
  <c r="AA67" i="12" s="1"/>
  <c r="AB67" i="12" s="1"/>
  <c r="AC67" i="12" s="1"/>
  <c r="AD67" i="12" s="1"/>
  <c r="AE67" i="12" s="1"/>
  <c r="AF67" i="12" s="1"/>
  <c r="AG67" i="12" s="1"/>
  <c r="AH67" i="12" s="1"/>
  <c r="AI67" i="12" s="1"/>
  <c r="AJ67" i="12" s="1"/>
  <c r="AK67" i="12" s="1"/>
  <c r="AL67" i="12" s="1"/>
  <c r="AM67" i="12" s="1"/>
  <c r="AN67" i="12" s="1"/>
  <c r="AO67" i="12" s="1"/>
  <c r="AP67" i="12" s="1"/>
  <c r="AQ67" i="12" s="1"/>
  <c r="AR67" i="12" s="1"/>
  <c r="AS67" i="12" s="1"/>
  <c r="AD58" i="6"/>
  <c r="AK65" i="6"/>
  <c r="B65" i="12" s="1"/>
  <c r="K30" i="1"/>
  <c r="L31" i="1"/>
  <c r="V50" i="6"/>
  <c r="W51" i="6"/>
  <c r="AG61" i="6"/>
  <c r="AE59" i="6"/>
  <c r="X52" i="6"/>
  <c r="AJ64" i="6"/>
  <c r="AH62" i="6"/>
  <c r="AB56" i="6"/>
  <c r="AI63" i="6"/>
  <c r="T48" i="6"/>
  <c r="U49" i="6"/>
  <c r="AF60" i="6"/>
  <c r="Y53" i="6"/>
  <c r="Z54" i="6"/>
  <c r="Q33" i="1"/>
  <c r="N33" i="1"/>
  <c r="M32" i="1"/>
  <c r="O33" i="1"/>
  <c r="P33" i="1"/>
  <c r="AC57" i="6"/>
  <c r="AA55" i="6"/>
  <c r="J29" i="1"/>
  <c r="C65" i="12" l="1"/>
  <c r="D66" i="12"/>
  <c r="E66" i="12" s="1"/>
  <c r="F66" i="12" s="1"/>
  <c r="G66" i="12" s="1"/>
  <c r="H66" i="12" s="1"/>
  <c r="I66" i="12" s="1"/>
  <c r="J66" i="12" s="1"/>
  <c r="K66" i="12" s="1"/>
  <c r="L66" i="12" s="1"/>
  <c r="M66" i="12" s="1"/>
  <c r="N66" i="12" s="1"/>
  <c r="O66" i="12" s="1"/>
  <c r="P66" i="12" s="1"/>
  <c r="Q66" i="12" s="1"/>
  <c r="R66" i="12" s="1"/>
  <c r="S66" i="12" s="1"/>
  <c r="T66" i="12" s="1"/>
  <c r="U66" i="12" s="1"/>
  <c r="V66" i="12" s="1"/>
  <c r="W66" i="12" s="1"/>
  <c r="X66" i="12" s="1"/>
  <c r="Y66" i="12" s="1"/>
  <c r="Z66" i="12" s="1"/>
  <c r="AA66" i="12" s="1"/>
  <c r="AB66" i="12" s="1"/>
  <c r="AC66" i="12" s="1"/>
  <c r="AD66" i="12" s="1"/>
  <c r="AE66" i="12" s="1"/>
  <c r="AF66" i="12" s="1"/>
  <c r="AG66" i="12" s="1"/>
  <c r="AH66" i="12" s="1"/>
  <c r="AI66" i="12" s="1"/>
  <c r="AJ66" i="12" s="1"/>
  <c r="AK66" i="12" s="1"/>
  <c r="AL66" i="12" s="1"/>
  <c r="AM66" i="12" s="1"/>
  <c r="AN66" i="12" s="1"/>
  <c r="AO66" i="12" s="1"/>
  <c r="AP66" i="12" s="1"/>
  <c r="AQ66" i="12" s="1"/>
  <c r="AR66" i="12" s="1"/>
  <c r="AS66" i="12" s="1"/>
  <c r="AA54" i="6"/>
  <c r="AJ63" i="6"/>
  <c r="U48" i="6"/>
  <c r="Y52" i="6"/>
  <c r="AG60" i="6"/>
  <c r="AI62" i="6"/>
  <c r="X51" i="6"/>
  <c r="AD57" i="6"/>
  <c r="AC56" i="6"/>
  <c r="AH61" i="6"/>
  <c r="L30" i="1"/>
  <c r="K29" i="1"/>
  <c r="J28" i="1"/>
  <c r="T47" i="6"/>
  <c r="N32" i="1"/>
  <c r="P32" i="1"/>
  <c r="O32" i="1"/>
  <c r="M31" i="1"/>
  <c r="Q32" i="1"/>
  <c r="AF59" i="6"/>
  <c r="AE58" i="6"/>
  <c r="W50" i="6"/>
  <c r="V49" i="6"/>
  <c r="AK64" i="6"/>
  <c r="B64" i="12" s="1"/>
  <c r="Z53" i="6"/>
  <c r="AB55" i="6"/>
  <c r="C64" i="12" l="1"/>
  <c r="D65" i="12"/>
  <c r="E65" i="12" s="1"/>
  <c r="F65" i="12" s="1"/>
  <c r="G65" i="12" s="1"/>
  <c r="H65" i="12" s="1"/>
  <c r="I65" i="12" s="1"/>
  <c r="J65" i="12" s="1"/>
  <c r="K65" i="12" s="1"/>
  <c r="L65" i="12" s="1"/>
  <c r="M65" i="12" s="1"/>
  <c r="N65" i="12" s="1"/>
  <c r="O65" i="12" s="1"/>
  <c r="P65" i="12" s="1"/>
  <c r="Q65" i="12" s="1"/>
  <c r="R65" i="12" s="1"/>
  <c r="S65" i="12" s="1"/>
  <c r="T65" i="12" s="1"/>
  <c r="U65" i="12" s="1"/>
  <c r="V65" i="12" s="1"/>
  <c r="W65" i="12" s="1"/>
  <c r="X65" i="12" s="1"/>
  <c r="Y65" i="12" s="1"/>
  <c r="Z65" i="12" s="1"/>
  <c r="AA65" i="12" s="1"/>
  <c r="AB65" i="12" s="1"/>
  <c r="AC65" i="12" s="1"/>
  <c r="AD65" i="12" s="1"/>
  <c r="AE65" i="12" s="1"/>
  <c r="AF65" i="12" s="1"/>
  <c r="AG65" i="12" s="1"/>
  <c r="AH65" i="12" s="1"/>
  <c r="AI65" i="12" s="1"/>
  <c r="AJ65" i="12" s="1"/>
  <c r="AK65" i="12" s="1"/>
  <c r="AL65" i="12" s="1"/>
  <c r="AM65" i="12" s="1"/>
  <c r="AN65" i="12" s="1"/>
  <c r="AO65" i="12" s="1"/>
  <c r="AP65" i="12" s="1"/>
  <c r="AQ65" i="12" s="1"/>
  <c r="AR65" i="12" s="1"/>
  <c r="AS65" i="12" s="1"/>
  <c r="Y51" i="6"/>
  <c r="W49" i="6"/>
  <c r="AD56" i="6"/>
  <c r="X50" i="6"/>
  <c r="K28" i="1"/>
  <c r="L29" i="1"/>
  <c r="AG59" i="6"/>
  <c r="V48" i="6"/>
  <c r="AK63" i="6"/>
  <c r="B63" i="12" s="1"/>
  <c r="O31" i="1"/>
  <c r="P31" i="1"/>
  <c r="Q31" i="1"/>
  <c r="N31" i="1"/>
  <c r="M30" i="1"/>
  <c r="AI61" i="6"/>
  <c r="Z52" i="6"/>
  <c r="AF58" i="6"/>
  <c r="AB54" i="6"/>
  <c r="AE57" i="6"/>
  <c r="J27" i="1"/>
  <c r="U47" i="6"/>
  <c r="AJ62" i="6"/>
  <c r="AH60" i="6"/>
  <c r="T46" i="6"/>
  <c r="AC55" i="6"/>
  <c r="AA53" i="6"/>
  <c r="C63" i="12" l="1"/>
  <c r="D64" i="12"/>
  <c r="E64" i="12" s="1"/>
  <c r="F64" i="12" s="1"/>
  <c r="G64" i="12" s="1"/>
  <c r="H64" i="12" s="1"/>
  <c r="I64" i="12" s="1"/>
  <c r="J64" i="12" s="1"/>
  <c r="K64" i="12" s="1"/>
  <c r="L64" i="12" s="1"/>
  <c r="M64" i="12" s="1"/>
  <c r="N64" i="12" s="1"/>
  <c r="O64" i="12" s="1"/>
  <c r="P64" i="12" s="1"/>
  <c r="Q64" i="12" s="1"/>
  <c r="R64" i="12" s="1"/>
  <c r="S64" i="12" s="1"/>
  <c r="T64" i="12" s="1"/>
  <c r="U64" i="12" s="1"/>
  <c r="V64" i="12" s="1"/>
  <c r="W64" i="12" s="1"/>
  <c r="X64" i="12" s="1"/>
  <c r="Y64" i="12" s="1"/>
  <c r="Z64" i="12" s="1"/>
  <c r="AA64" i="12" s="1"/>
  <c r="AB64" i="12" s="1"/>
  <c r="AC64" i="12" s="1"/>
  <c r="AD64" i="12" s="1"/>
  <c r="AE64" i="12" s="1"/>
  <c r="AF64" i="12" s="1"/>
  <c r="AG64" i="12" s="1"/>
  <c r="AH64" i="12" s="1"/>
  <c r="AI64" i="12" s="1"/>
  <c r="AJ64" i="12" s="1"/>
  <c r="AK64" i="12" s="1"/>
  <c r="AL64" i="12" s="1"/>
  <c r="AM64" i="12" s="1"/>
  <c r="AN64" i="12" s="1"/>
  <c r="AO64" i="12" s="1"/>
  <c r="AP64" i="12" s="1"/>
  <c r="AQ64" i="12" s="1"/>
  <c r="AR64" i="12" s="1"/>
  <c r="AS64" i="12" s="1"/>
  <c r="T45" i="6"/>
  <c r="P30" i="1"/>
  <c r="N30" i="1"/>
  <c r="O30" i="1"/>
  <c r="M29" i="1"/>
  <c r="Q30" i="1"/>
  <c r="V47" i="6"/>
  <c r="W48" i="6"/>
  <c r="AA52" i="6"/>
  <c r="AH59" i="6"/>
  <c r="AJ61" i="6"/>
  <c r="AC54" i="6"/>
  <c r="Y50" i="6"/>
  <c r="AB53" i="6"/>
  <c r="U46" i="6"/>
  <c r="AF57" i="6"/>
  <c r="J26" i="1"/>
  <c r="X49" i="6"/>
  <c r="AE56" i="6"/>
  <c r="Z51" i="6"/>
  <c r="AI60" i="6"/>
  <c r="L28" i="1"/>
  <c r="K27" i="1"/>
  <c r="AK62" i="6"/>
  <c r="B62" i="12" s="1"/>
  <c r="AG58" i="6"/>
  <c r="AD55" i="6"/>
  <c r="C62" i="12" l="1"/>
  <c r="D63" i="12"/>
  <c r="E63" i="12" s="1"/>
  <c r="F63" i="12" s="1"/>
  <c r="G63" i="12" s="1"/>
  <c r="H63" i="12" s="1"/>
  <c r="I63" i="12" s="1"/>
  <c r="J63" i="12" s="1"/>
  <c r="K63" i="12" s="1"/>
  <c r="L63" i="12" s="1"/>
  <c r="M63" i="12" s="1"/>
  <c r="N63" i="12" s="1"/>
  <c r="O63" i="12" s="1"/>
  <c r="P63" i="12" s="1"/>
  <c r="Q63" i="12" s="1"/>
  <c r="R63" i="12" s="1"/>
  <c r="S63" i="12" s="1"/>
  <c r="T63" i="12" s="1"/>
  <c r="U63" i="12" s="1"/>
  <c r="V63" i="12" s="1"/>
  <c r="W63" i="12" s="1"/>
  <c r="X63" i="12" s="1"/>
  <c r="Y63" i="12" s="1"/>
  <c r="Z63" i="12" s="1"/>
  <c r="AA63" i="12" s="1"/>
  <c r="AB63" i="12" s="1"/>
  <c r="AC63" i="12" s="1"/>
  <c r="AD63" i="12" s="1"/>
  <c r="AE63" i="12" s="1"/>
  <c r="AF63" i="12" s="1"/>
  <c r="AG63" i="12" s="1"/>
  <c r="AH63" i="12" s="1"/>
  <c r="AI63" i="12" s="1"/>
  <c r="AJ63" i="12" s="1"/>
  <c r="AK63" i="12" s="1"/>
  <c r="AL63" i="12" s="1"/>
  <c r="AM63" i="12" s="1"/>
  <c r="AN63" i="12" s="1"/>
  <c r="AO63" i="12" s="1"/>
  <c r="AP63" i="12" s="1"/>
  <c r="AQ63" i="12" s="1"/>
  <c r="AR63" i="12" s="1"/>
  <c r="AS63" i="12" s="1"/>
  <c r="K26" i="1"/>
  <c r="L27" i="1"/>
  <c r="AE55" i="6"/>
  <c r="AH58" i="6"/>
  <c r="Q29" i="1"/>
  <c r="P29" i="1"/>
  <c r="O29" i="1"/>
  <c r="M28" i="1"/>
  <c r="N29" i="1"/>
  <c r="AB52" i="6"/>
  <c r="W47" i="6"/>
  <c r="Z50" i="6"/>
  <c r="X48" i="6"/>
  <c r="AD54" i="6"/>
  <c r="AC53" i="6"/>
  <c r="AA51" i="6"/>
  <c r="AF56" i="6"/>
  <c r="Y49" i="6"/>
  <c r="J25" i="1"/>
  <c r="AK61" i="6"/>
  <c r="B61" i="12" s="1"/>
  <c r="AI59" i="6"/>
  <c r="AG57" i="6"/>
  <c r="U45" i="6"/>
  <c r="AJ60" i="6"/>
  <c r="V46" i="6"/>
  <c r="T44" i="6"/>
  <c r="C61" i="12" l="1"/>
  <c r="D62" i="12"/>
  <c r="E62" i="12" s="1"/>
  <c r="F62" i="12" s="1"/>
  <c r="G62" i="12" s="1"/>
  <c r="H62" i="12" s="1"/>
  <c r="I62" i="12" s="1"/>
  <c r="J62" i="12" s="1"/>
  <c r="K62" i="12" s="1"/>
  <c r="L62" i="12" s="1"/>
  <c r="M62" i="12" s="1"/>
  <c r="N62" i="12" s="1"/>
  <c r="O62" i="12" s="1"/>
  <c r="P62" i="12" s="1"/>
  <c r="Q62" i="12" s="1"/>
  <c r="R62" i="12" s="1"/>
  <c r="S62" i="12" s="1"/>
  <c r="T62" i="12" s="1"/>
  <c r="U62" i="12" s="1"/>
  <c r="V62" i="12" s="1"/>
  <c r="W62" i="12" s="1"/>
  <c r="X62" i="12" s="1"/>
  <c r="Y62" i="12" s="1"/>
  <c r="Z62" i="12" s="1"/>
  <c r="AA62" i="12" s="1"/>
  <c r="AB62" i="12" s="1"/>
  <c r="AC62" i="12" s="1"/>
  <c r="AD62" i="12" s="1"/>
  <c r="AE62" i="12" s="1"/>
  <c r="AF62" i="12" s="1"/>
  <c r="AG62" i="12" s="1"/>
  <c r="AH62" i="12" s="1"/>
  <c r="AI62" i="12" s="1"/>
  <c r="AJ62" i="12" s="1"/>
  <c r="AK62" i="12" s="1"/>
  <c r="AL62" i="12" s="1"/>
  <c r="AM62" i="12" s="1"/>
  <c r="AN62" i="12" s="1"/>
  <c r="AO62" i="12" s="1"/>
  <c r="AP62" i="12" s="1"/>
  <c r="AQ62" i="12" s="1"/>
  <c r="AR62" i="12" s="1"/>
  <c r="AS62" i="12" s="1"/>
  <c r="P28" i="1"/>
  <c r="N28" i="1"/>
  <c r="O28" i="1"/>
  <c r="Q28" i="1"/>
  <c r="M27" i="1"/>
  <c r="T43" i="6"/>
  <c r="V45" i="6"/>
  <c r="U44" i="6"/>
  <c r="AF55" i="6"/>
  <c r="AA50" i="6"/>
  <c r="X47" i="6"/>
  <c r="L26" i="1"/>
  <c r="K25" i="1"/>
  <c r="AB51" i="6"/>
  <c r="AG56" i="6"/>
  <c r="AJ59" i="6"/>
  <c r="AK60" i="6"/>
  <c r="B60" i="12" s="1"/>
  <c r="AC52" i="6"/>
  <c r="Z49" i="6"/>
  <c r="Y48" i="6"/>
  <c r="AI58" i="6"/>
  <c r="J24" i="1"/>
  <c r="AD53" i="6"/>
  <c r="W46" i="6"/>
  <c r="AH57" i="6"/>
  <c r="AE54" i="6"/>
  <c r="C60" i="12" l="1"/>
  <c r="D61" i="12"/>
  <c r="E61" i="12" s="1"/>
  <c r="F61" i="12" s="1"/>
  <c r="G61" i="12" s="1"/>
  <c r="H61" i="12" s="1"/>
  <c r="I61" i="12" s="1"/>
  <c r="J61" i="12" s="1"/>
  <c r="K61" i="12" s="1"/>
  <c r="L61" i="12" s="1"/>
  <c r="M61" i="12" s="1"/>
  <c r="N61" i="12" s="1"/>
  <c r="O61" i="12" s="1"/>
  <c r="P61" i="12" s="1"/>
  <c r="Q61" i="12" s="1"/>
  <c r="R61" i="12" s="1"/>
  <c r="S61" i="12" s="1"/>
  <c r="T61" i="12" s="1"/>
  <c r="U61" i="12" s="1"/>
  <c r="V61" i="12" s="1"/>
  <c r="W61" i="12" s="1"/>
  <c r="X61" i="12" s="1"/>
  <c r="Y61" i="12" s="1"/>
  <c r="Z61" i="12" s="1"/>
  <c r="AA61" i="12" s="1"/>
  <c r="AB61" i="12" s="1"/>
  <c r="AC61" i="12" s="1"/>
  <c r="AD61" i="12" s="1"/>
  <c r="AE61" i="12" s="1"/>
  <c r="AF61" i="12" s="1"/>
  <c r="AG61" i="12" s="1"/>
  <c r="AH61" i="12" s="1"/>
  <c r="AI61" i="12" s="1"/>
  <c r="AJ61" i="12" s="1"/>
  <c r="AK61" i="12" s="1"/>
  <c r="AL61" i="12" s="1"/>
  <c r="AM61" i="12" s="1"/>
  <c r="AN61" i="12" s="1"/>
  <c r="AO61" i="12" s="1"/>
  <c r="AP61" i="12" s="1"/>
  <c r="AQ61" i="12" s="1"/>
  <c r="AR61" i="12" s="1"/>
  <c r="AS61" i="12" s="1"/>
  <c r="Y47" i="6"/>
  <c r="AC51" i="6"/>
  <c r="AB50" i="6"/>
  <c r="Q27" i="1"/>
  <c r="M26" i="1"/>
  <c r="P27" i="1"/>
  <c r="O27" i="1"/>
  <c r="N27" i="1"/>
  <c r="X46" i="6"/>
  <c r="T42" i="6"/>
  <c r="W45" i="6"/>
  <c r="AI57" i="6"/>
  <c r="L25" i="1"/>
  <c r="K24" i="1"/>
  <c r="AE53" i="6"/>
  <c r="AD52" i="6"/>
  <c r="U43" i="6"/>
  <c r="Z48" i="6"/>
  <c r="AK59" i="6"/>
  <c r="B59" i="12" s="1"/>
  <c r="AA49" i="6"/>
  <c r="AJ58" i="6"/>
  <c r="V44" i="6"/>
  <c r="AH56" i="6"/>
  <c r="J23" i="1"/>
  <c r="AG55" i="6"/>
  <c r="AF54" i="6"/>
  <c r="C59" i="12" l="1"/>
  <c r="D60" i="12"/>
  <c r="E60" i="12" s="1"/>
  <c r="F60" i="12" s="1"/>
  <c r="G60" i="12" s="1"/>
  <c r="H60" i="12" s="1"/>
  <c r="I60" i="12" s="1"/>
  <c r="J60" i="12" s="1"/>
  <c r="K60" i="12" s="1"/>
  <c r="L60" i="12" s="1"/>
  <c r="M60" i="12" s="1"/>
  <c r="N60" i="12" s="1"/>
  <c r="O60" i="12" s="1"/>
  <c r="P60" i="12" s="1"/>
  <c r="Q60" i="12" s="1"/>
  <c r="R60" i="12" s="1"/>
  <c r="S60" i="12" s="1"/>
  <c r="T60" i="12" s="1"/>
  <c r="U60" i="12" s="1"/>
  <c r="V60" i="12" s="1"/>
  <c r="W60" i="12" s="1"/>
  <c r="X60" i="12" s="1"/>
  <c r="Y60" i="12" s="1"/>
  <c r="Z60" i="12" s="1"/>
  <c r="AA60" i="12" s="1"/>
  <c r="AB60" i="12" s="1"/>
  <c r="AC60" i="12" s="1"/>
  <c r="AD60" i="12" s="1"/>
  <c r="AE60" i="12" s="1"/>
  <c r="AF60" i="12" s="1"/>
  <c r="AG60" i="12" s="1"/>
  <c r="AH60" i="12" s="1"/>
  <c r="AI60" i="12" s="1"/>
  <c r="AJ60" i="12" s="1"/>
  <c r="AK60" i="12" s="1"/>
  <c r="AL60" i="12" s="1"/>
  <c r="AM60" i="12" s="1"/>
  <c r="AN60" i="12" s="1"/>
  <c r="AO60" i="12" s="1"/>
  <c r="AP60" i="12" s="1"/>
  <c r="AQ60" i="12" s="1"/>
  <c r="AR60" i="12" s="1"/>
  <c r="AS60" i="12" s="1"/>
  <c r="L24" i="1"/>
  <c r="K23" i="1"/>
  <c r="U42" i="6"/>
  <c r="AC50" i="6"/>
  <c r="AD51" i="6"/>
  <c r="AF53" i="6"/>
  <c r="AK58" i="6"/>
  <c r="B58" i="12" s="1"/>
  <c r="J22" i="1"/>
  <c r="W44" i="6"/>
  <c r="AE52" i="6"/>
  <c r="T41" i="6"/>
  <c r="O26" i="1"/>
  <c r="N26" i="1"/>
  <c r="P26" i="1"/>
  <c r="Q26" i="1"/>
  <c r="M25" i="1"/>
  <c r="Y46" i="6"/>
  <c r="AH55" i="6"/>
  <c r="AG54" i="6"/>
  <c r="V43" i="6"/>
  <c r="AJ57" i="6"/>
  <c r="Z47" i="6"/>
  <c r="AB49" i="6"/>
  <c r="AA48" i="6"/>
  <c r="AI56" i="6"/>
  <c r="X45" i="6"/>
  <c r="C58" i="12" l="1"/>
  <c r="D59" i="12"/>
  <c r="E59" i="12" s="1"/>
  <c r="F59" i="12" s="1"/>
  <c r="G59" i="12" s="1"/>
  <c r="H59" i="12" s="1"/>
  <c r="I59" i="12" s="1"/>
  <c r="J59" i="12" s="1"/>
  <c r="K59" i="12" s="1"/>
  <c r="L59" i="12" s="1"/>
  <c r="M59" i="12" s="1"/>
  <c r="N59" i="12" s="1"/>
  <c r="O59" i="12" s="1"/>
  <c r="P59" i="12" s="1"/>
  <c r="Q59" i="12" s="1"/>
  <c r="R59" i="12" s="1"/>
  <c r="S59" i="12" s="1"/>
  <c r="T59" i="12" s="1"/>
  <c r="U59" i="12" s="1"/>
  <c r="V59" i="12" s="1"/>
  <c r="W59" i="12" s="1"/>
  <c r="X59" i="12" s="1"/>
  <c r="Y59" i="12" s="1"/>
  <c r="Z59" i="12" s="1"/>
  <c r="AA59" i="12" s="1"/>
  <c r="AB59" i="12" s="1"/>
  <c r="AC59" i="12" s="1"/>
  <c r="AD59" i="12" s="1"/>
  <c r="AE59" i="12" s="1"/>
  <c r="AF59" i="12" s="1"/>
  <c r="AG59" i="12" s="1"/>
  <c r="AH59" i="12" s="1"/>
  <c r="AI59" i="12" s="1"/>
  <c r="AJ59" i="12" s="1"/>
  <c r="AK59" i="12" s="1"/>
  <c r="AL59" i="12" s="1"/>
  <c r="AM59" i="12" s="1"/>
  <c r="AN59" i="12" s="1"/>
  <c r="AO59" i="12" s="1"/>
  <c r="AP59" i="12" s="1"/>
  <c r="AQ59" i="12" s="1"/>
  <c r="AR59" i="12" s="1"/>
  <c r="AS59" i="12" s="1"/>
  <c r="AJ56" i="6"/>
  <c r="U41" i="6"/>
  <c r="J21" i="1"/>
  <c r="AC49" i="6"/>
  <c r="Z46" i="6"/>
  <c r="AH54" i="6"/>
  <c r="X44" i="6"/>
  <c r="Y45" i="6"/>
  <c r="AE51" i="6"/>
  <c r="AI55" i="6"/>
  <c r="T40" i="6"/>
  <c r="AK57" i="6"/>
  <c r="B57" i="12" s="1"/>
  <c r="AF52" i="6"/>
  <c r="AA47" i="6"/>
  <c r="AB48" i="6"/>
  <c r="W43" i="6"/>
  <c r="AD50" i="6"/>
  <c r="Q25" i="1"/>
  <c r="N25" i="1"/>
  <c r="O25" i="1"/>
  <c r="M24" i="1"/>
  <c r="P25" i="1"/>
  <c r="V42" i="6"/>
  <c r="AG53" i="6"/>
  <c r="K22" i="1"/>
  <c r="L23" i="1"/>
  <c r="C57" i="12" l="1"/>
  <c r="D58" i="12"/>
  <c r="E58" i="12" s="1"/>
  <c r="F58" i="12" s="1"/>
  <c r="G58" i="12" s="1"/>
  <c r="H58" i="12" s="1"/>
  <c r="I58" i="12" s="1"/>
  <c r="J58" i="12" s="1"/>
  <c r="K58" i="12" s="1"/>
  <c r="L58" i="12" s="1"/>
  <c r="M58" i="12" s="1"/>
  <c r="N58" i="12" s="1"/>
  <c r="O58" i="12" s="1"/>
  <c r="P58" i="12" s="1"/>
  <c r="Q58" i="12" s="1"/>
  <c r="R58" i="12" s="1"/>
  <c r="S58" i="12" s="1"/>
  <c r="T58" i="12" s="1"/>
  <c r="U58" i="12" s="1"/>
  <c r="V58" i="12" s="1"/>
  <c r="W58" i="12" s="1"/>
  <c r="X58" i="12" s="1"/>
  <c r="Y58" i="12" s="1"/>
  <c r="Z58" i="12" s="1"/>
  <c r="AA58" i="12" s="1"/>
  <c r="AB58" i="12" s="1"/>
  <c r="AC58" i="12" s="1"/>
  <c r="AD58" i="12" s="1"/>
  <c r="AE58" i="12" s="1"/>
  <c r="AF58" i="12" s="1"/>
  <c r="AG58" i="12" s="1"/>
  <c r="AH58" i="12" s="1"/>
  <c r="AI58" i="12" s="1"/>
  <c r="AJ58" i="12" s="1"/>
  <c r="AK58" i="12" s="1"/>
  <c r="AL58" i="12" s="1"/>
  <c r="AM58" i="12" s="1"/>
  <c r="AN58" i="12" s="1"/>
  <c r="AO58" i="12" s="1"/>
  <c r="AP58" i="12" s="1"/>
  <c r="AQ58" i="12" s="1"/>
  <c r="AR58" i="12" s="1"/>
  <c r="AS58" i="12" s="1"/>
  <c r="AG52" i="6"/>
  <c r="K21" i="1"/>
  <c r="L22" i="1"/>
  <c r="Q24" i="1"/>
  <c r="M23" i="1"/>
  <c r="P24" i="1"/>
  <c r="O24" i="1"/>
  <c r="N24" i="1"/>
  <c r="AD49" i="6"/>
  <c r="U40" i="6"/>
  <c r="V41" i="6"/>
  <c r="AA46" i="6"/>
  <c r="AB47" i="6"/>
  <c r="AI54" i="6"/>
  <c r="T39" i="6"/>
  <c r="W42" i="6"/>
  <c r="AF51" i="6"/>
  <c r="AK56" i="6"/>
  <c r="B56" i="12" s="1"/>
  <c r="AE50" i="6"/>
  <c r="AH53" i="6"/>
  <c r="AC48" i="6"/>
  <c r="Z45" i="6"/>
  <c r="J20" i="1"/>
  <c r="AJ55" i="6"/>
  <c r="Y44" i="6"/>
  <c r="X43" i="6"/>
  <c r="C56" i="12" l="1"/>
  <c r="D57" i="12"/>
  <c r="E57" i="12" s="1"/>
  <c r="F57" i="12" s="1"/>
  <c r="G57" i="12" s="1"/>
  <c r="H57" i="12" s="1"/>
  <c r="I57" i="12" s="1"/>
  <c r="J57" i="12" s="1"/>
  <c r="K57" i="12" s="1"/>
  <c r="L57" i="12" s="1"/>
  <c r="M57" i="12" s="1"/>
  <c r="N57" i="12" s="1"/>
  <c r="O57" i="12" s="1"/>
  <c r="P57" i="12" s="1"/>
  <c r="Q57" i="12" s="1"/>
  <c r="R57" i="12" s="1"/>
  <c r="S57" i="12" s="1"/>
  <c r="T57" i="12" s="1"/>
  <c r="U57" i="12" s="1"/>
  <c r="V57" i="12" s="1"/>
  <c r="W57" i="12" s="1"/>
  <c r="X57" i="12" s="1"/>
  <c r="Y57" i="12" s="1"/>
  <c r="Z57" i="12" s="1"/>
  <c r="AA57" i="12" s="1"/>
  <c r="AB57" i="12" s="1"/>
  <c r="AC57" i="12" s="1"/>
  <c r="AD57" i="12" s="1"/>
  <c r="AE57" i="12" s="1"/>
  <c r="AF57" i="12" s="1"/>
  <c r="AG57" i="12" s="1"/>
  <c r="AH57" i="12" s="1"/>
  <c r="AI57" i="12" s="1"/>
  <c r="AJ57" i="12" s="1"/>
  <c r="AK57" i="12" s="1"/>
  <c r="AL57" i="12" s="1"/>
  <c r="AM57" i="12" s="1"/>
  <c r="AN57" i="12" s="1"/>
  <c r="AO57" i="12" s="1"/>
  <c r="AP57" i="12" s="1"/>
  <c r="AQ57" i="12" s="1"/>
  <c r="AR57" i="12" s="1"/>
  <c r="AS57" i="12" s="1"/>
  <c r="AC47" i="6"/>
  <c r="Y43" i="6"/>
  <c r="U39" i="6"/>
  <c r="L21" i="1"/>
  <c r="K20" i="1"/>
  <c r="AA45" i="6"/>
  <c r="AK55" i="6"/>
  <c r="B55" i="12" s="1"/>
  <c r="J19" i="1"/>
  <c r="P23" i="1"/>
  <c r="O23" i="1"/>
  <c r="M22" i="1"/>
  <c r="Q23" i="1"/>
  <c r="N23" i="1"/>
  <c r="W41" i="6"/>
  <c r="AI53" i="6"/>
  <c r="AB46" i="6"/>
  <c r="Z44" i="6"/>
  <c r="AJ54" i="6"/>
  <c r="V40" i="6"/>
  <c r="AF50" i="6"/>
  <c r="T38" i="6"/>
  <c r="AD48" i="6"/>
  <c r="AG51" i="6"/>
  <c r="AH52" i="6"/>
  <c r="X42" i="6"/>
  <c r="AE49" i="6"/>
  <c r="C55" i="12" l="1"/>
  <c r="D56" i="12"/>
  <c r="E56" i="12" s="1"/>
  <c r="F56" i="12" s="1"/>
  <c r="G56" i="12" s="1"/>
  <c r="H56" i="12" s="1"/>
  <c r="I56" i="12" s="1"/>
  <c r="J56" i="12" s="1"/>
  <c r="K56" i="12" s="1"/>
  <c r="L56" i="12" s="1"/>
  <c r="M56" i="12" s="1"/>
  <c r="N56" i="12" s="1"/>
  <c r="O56" i="12" s="1"/>
  <c r="P56" i="12" s="1"/>
  <c r="Q56" i="12" s="1"/>
  <c r="R56" i="12" s="1"/>
  <c r="S56" i="12" s="1"/>
  <c r="T56" i="12" s="1"/>
  <c r="U56" i="12" s="1"/>
  <c r="V56" i="12" s="1"/>
  <c r="W56" i="12" s="1"/>
  <c r="X56" i="12" s="1"/>
  <c r="Y56" i="12" s="1"/>
  <c r="Z56" i="12" s="1"/>
  <c r="AA56" i="12" s="1"/>
  <c r="AB56" i="12" s="1"/>
  <c r="AC56" i="12" s="1"/>
  <c r="AD56" i="12" s="1"/>
  <c r="AE56" i="12" s="1"/>
  <c r="AF56" i="12" s="1"/>
  <c r="AG56" i="12" s="1"/>
  <c r="AH56" i="12" s="1"/>
  <c r="AI56" i="12" s="1"/>
  <c r="AJ56" i="12" s="1"/>
  <c r="AK56" i="12" s="1"/>
  <c r="AL56" i="12" s="1"/>
  <c r="AM56" i="12" s="1"/>
  <c r="AN56" i="12" s="1"/>
  <c r="AO56" i="12" s="1"/>
  <c r="AP56" i="12" s="1"/>
  <c r="AQ56" i="12" s="1"/>
  <c r="AR56" i="12" s="1"/>
  <c r="AS56" i="12" s="1"/>
  <c r="AJ53" i="6"/>
  <c r="AE48" i="6"/>
  <c r="W40" i="6"/>
  <c r="AK54" i="6"/>
  <c r="B54" i="12" s="1"/>
  <c r="Y42" i="6"/>
  <c r="AD47" i="6"/>
  <c r="T37" i="6"/>
  <c r="AA44" i="6"/>
  <c r="U38" i="6"/>
  <c r="AF49" i="6"/>
  <c r="V39" i="6"/>
  <c r="AB45" i="6"/>
  <c r="J18" i="1"/>
  <c r="X41" i="6"/>
  <c r="AH51" i="6"/>
  <c r="AC46" i="6"/>
  <c r="AG50" i="6"/>
  <c r="Z43" i="6"/>
  <c r="M21" i="1"/>
  <c r="Q22" i="1"/>
  <c r="P22" i="1"/>
  <c r="N22" i="1"/>
  <c r="O22" i="1"/>
  <c r="L20" i="1"/>
  <c r="K19" i="1"/>
  <c r="AI52" i="6"/>
  <c r="C54" i="12" l="1"/>
  <c r="D55" i="12"/>
  <c r="E55" i="12" s="1"/>
  <c r="F55" i="12" s="1"/>
  <c r="G55" i="12" s="1"/>
  <c r="H55" i="12" s="1"/>
  <c r="I55" i="12" s="1"/>
  <c r="J55" i="12" s="1"/>
  <c r="K55" i="12" s="1"/>
  <c r="L55" i="12" s="1"/>
  <c r="M55" i="12" s="1"/>
  <c r="N55" i="12" s="1"/>
  <c r="O55" i="12" s="1"/>
  <c r="P55" i="12" s="1"/>
  <c r="Q55" i="12" s="1"/>
  <c r="R55" i="12" s="1"/>
  <c r="S55" i="12" s="1"/>
  <c r="T55" i="12" s="1"/>
  <c r="U55" i="12" s="1"/>
  <c r="V55" i="12" s="1"/>
  <c r="W55" i="12" s="1"/>
  <c r="X55" i="12" s="1"/>
  <c r="Y55" i="12" s="1"/>
  <c r="Z55" i="12" s="1"/>
  <c r="AA55" i="12" s="1"/>
  <c r="AB55" i="12" s="1"/>
  <c r="AC55" i="12" s="1"/>
  <c r="AD55" i="12" s="1"/>
  <c r="AE55" i="12" s="1"/>
  <c r="AF55" i="12" s="1"/>
  <c r="AG55" i="12" s="1"/>
  <c r="AH55" i="12" s="1"/>
  <c r="AI55" i="12" s="1"/>
  <c r="AJ55" i="12" s="1"/>
  <c r="AK55" i="12" s="1"/>
  <c r="AL55" i="12" s="1"/>
  <c r="AM55" i="12" s="1"/>
  <c r="AN55" i="12" s="1"/>
  <c r="AO55" i="12" s="1"/>
  <c r="AP55" i="12" s="1"/>
  <c r="AQ55" i="12" s="1"/>
  <c r="AR55" i="12" s="1"/>
  <c r="AS55" i="12" s="1"/>
  <c r="L19" i="1"/>
  <c r="K18" i="1"/>
  <c r="AH50" i="6"/>
  <c r="AF48" i="6"/>
  <c r="W39" i="6"/>
  <c r="AI51" i="6"/>
  <c r="T36" i="6"/>
  <c r="AG49" i="6"/>
  <c r="AB44" i="6"/>
  <c r="Q21" i="1"/>
  <c r="O21" i="1"/>
  <c r="N21" i="1"/>
  <c r="M20" i="1"/>
  <c r="P21" i="1"/>
  <c r="U37" i="6"/>
  <c r="AJ52" i="6"/>
  <c r="AA43" i="6"/>
  <c r="AK53" i="6"/>
  <c r="B53" i="12" s="1"/>
  <c r="J17" i="1"/>
  <c r="Z42" i="6"/>
  <c r="AC45" i="6"/>
  <c r="V38" i="6"/>
  <c r="Y41" i="6"/>
  <c r="X40" i="6"/>
  <c r="AD46" i="6"/>
  <c r="AE47" i="6"/>
  <c r="C53" i="12" l="1"/>
  <c r="D54" i="12"/>
  <c r="E54" i="12" s="1"/>
  <c r="F54" i="12" s="1"/>
  <c r="G54" i="12" s="1"/>
  <c r="H54" i="12" s="1"/>
  <c r="I54" i="12" s="1"/>
  <c r="J54" i="12" s="1"/>
  <c r="K54" i="12" s="1"/>
  <c r="L54" i="12" s="1"/>
  <c r="M54" i="12" s="1"/>
  <c r="N54" i="12" s="1"/>
  <c r="O54" i="12" s="1"/>
  <c r="P54" i="12" s="1"/>
  <c r="Q54" i="12" s="1"/>
  <c r="R54" i="12" s="1"/>
  <c r="S54" i="12" s="1"/>
  <c r="T54" i="12" s="1"/>
  <c r="U54" i="12" s="1"/>
  <c r="V54" i="12" s="1"/>
  <c r="W54" i="12" s="1"/>
  <c r="X54" i="12" s="1"/>
  <c r="Y54" i="12" s="1"/>
  <c r="Z54" i="12" s="1"/>
  <c r="AA54" i="12" s="1"/>
  <c r="AB54" i="12" s="1"/>
  <c r="AC54" i="12" s="1"/>
  <c r="AD54" i="12" s="1"/>
  <c r="AE54" i="12" s="1"/>
  <c r="AF54" i="12" s="1"/>
  <c r="AG54" i="12" s="1"/>
  <c r="AH54" i="12" s="1"/>
  <c r="AI54" i="12" s="1"/>
  <c r="AJ54" i="12" s="1"/>
  <c r="AK54" i="12" s="1"/>
  <c r="AL54" i="12" s="1"/>
  <c r="AM54" i="12" s="1"/>
  <c r="AN54" i="12" s="1"/>
  <c r="AO54" i="12" s="1"/>
  <c r="AP54" i="12" s="1"/>
  <c r="AQ54" i="12" s="1"/>
  <c r="AR54" i="12" s="1"/>
  <c r="AS54" i="12" s="1"/>
  <c r="Y40" i="6"/>
  <c r="V37" i="6"/>
  <c r="J16" i="1"/>
  <c r="AH49" i="6"/>
  <c r="T35" i="6"/>
  <c r="K17" i="1"/>
  <c r="L18" i="1"/>
  <c r="U36" i="6"/>
  <c r="M19" i="1"/>
  <c r="N20" i="1"/>
  <c r="Q20" i="1"/>
  <c r="P20" i="1"/>
  <c r="O20" i="1"/>
  <c r="AG48" i="6"/>
  <c r="AK52" i="6"/>
  <c r="B52" i="12" s="1"/>
  <c r="AC44" i="6"/>
  <c r="Z41" i="6"/>
  <c r="AA42" i="6"/>
  <c r="AF47" i="6"/>
  <c r="AD45" i="6"/>
  <c r="W38" i="6"/>
  <c r="X39" i="6"/>
  <c r="AJ51" i="6"/>
  <c r="AB43" i="6"/>
  <c r="AE46" i="6"/>
  <c r="AI50" i="6"/>
  <c r="C52" i="12" l="1"/>
  <c r="D53" i="12"/>
  <c r="E53" i="12" s="1"/>
  <c r="F53" i="12" s="1"/>
  <c r="G53" i="12" s="1"/>
  <c r="H53" i="12" s="1"/>
  <c r="I53" i="12" s="1"/>
  <c r="J53" i="12" s="1"/>
  <c r="K53" i="12" s="1"/>
  <c r="L53" i="12" s="1"/>
  <c r="M53" i="12" s="1"/>
  <c r="N53" i="12" s="1"/>
  <c r="O53" i="12" s="1"/>
  <c r="P53" i="12" s="1"/>
  <c r="Q53" i="12" s="1"/>
  <c r="R53" i="12" s="1"/>
  <c r="S53" i="12" s="1"/>
  <c r="T53" i="12" s="1"/>
  <c r="U53" i="12" s="1"/>
  <c r="V53" i="12" s="1"/>
  <c r="W53" i="12" s="1"/>
  <c r="X53" i="12" s="1"/>
  <c r="Y53" i="12" s="1"/>
  <c r="Z53" i="12" s="1"/>
  <c r="AA53" i="12" s="1"/>
  <c r="AB53" i="12" s="1"/>
  <c r="AC53" i="12" s="1"/>
  <c r="AD53" i="12" s="1"/>
  <c r="AE53" i="12" s="1"/>
  <c r="AF53" i="12" s="1"/>
  <c r="AG53" i="12" s="1"/>
  <c r="AH53" i="12" s="1"/>
  <c r="AI53" i="12" s="1"/>
  <c r="AJ53" i="12" s="1"/>
  <c r="AK53" i="12" s="1"/>
  <c r="AL53" i="12" s="1"/>
  <c r="AM53" i="12" s="1"/>
  <c r="AN53" i="12" s="1"/>
  <c r="AO53" i="12" s="1"/>
  <c r="AP53" i="12" s="1"/>
  <c r="AQ53" i="12" s="1"/>
  <c r="AR53" i="12" s="1"/>
  <c r="AS53" i="12" s="1"/>
  <c r="X38" i="6"/>
  <c r="AJ50" i="6"/>
  <c r="W37" i="6"/>
  <c r="AC43" i="6"/>
  <c r="U35" i="6"/>
  <c r="AH48" i="6"/>
  <c r="AE45" i="6"/>
  <c r="AF46" i="6"/>
  <c r="AA41" i="6"/>
  <c r="AK51" i="6"/>
  <c r="B51" i="12" s="1"/>
  <c r="V36" i="6"/>
  <c r="T34" i="6"/>
  <c r="Y39" i="6"/>
  <c r="AD44" i="6"/>
  <c r="Z40" i="6"/>
  <c r="AI49" i="6"/>
  <c r="AB42" i="6"/>
  <c r="M18" i="1"/>
  <c r="P19" i="1"/>
  <c r="Q19" i="1"/>
  <c r="O19" i="1"/>
  <c r="N19" i="1"/>
  <c r="AG47" i="6"/>
  <c r="L17" i="1"/>
  <c r="K16" i="1"/>
  <c r="J15" i="1"/>
  <c r="C51" i="12" l="1"/>
  <c r="D52" i="12"/>
  <c r="E52" i="12" s="1"/>
  <c r="F52" i="12" s="1"/>
  <c r="G52" i="12" s="1"/>
  <c r="H52" i="12" s="1"/>
  <c r="I52" i="12" s="1"/>
  <c r="J52" i="12" s="1"/>
  <c r="K52" i="12" s="1"/>
  <c r="L52" i="12" s="1"/>
  <c r="M52" i="12" s="1"/>
  <c r="N52" i="12" s="1"/>
  <c r="O52" i="12" s="1"/>
  <c r="P52" i="12" s="1"/>
  <c r="Q52" i="12" s="1"/>
  <c r="R52" i="12" s="1"/>
  <c r="S52" i="12" s="1"/>
  <c r="T52" i="12" s="1"/>
  <c r="U52" i="12" s="1"/>
  <c r="V52" i="12" s="1"/>
  <c r="W52" i="12" s="1"/>
  <c r="X52" i="12" s="1"/>
  <c r="Y52" i="12" s="1"/>
  <c r="Z52" i="12" s="1"/>
  <c r="AA52" i="12" s="1"/>
  <c r="AB52" i="12" s="1"/>
  <c r="AC52" i="12" s="1"/>
  <c r="AD52" i="12" s="1"/>
  <c r="AE52" i="12" s="1"/>
  <c r="AF52" i="12" s="1"/>
  <c r="AG52" i="12" s="1"/>
  <c r="AH52" i="12" s="1"/>
  <c r="AI52" i="12" s="1"/>
  <c r="AJ52" i="12" s="1"/>
  <c r="AK52" i="12" s="1"/>
  <c r="AL52" i="12" s="1"/>
  <c r="AM52" i="12" s="1"/>
  <c r="AN52" i="12" s="1"/>
  <c r="AO52" i="12" s="1"/>
  <c r="AP52" i="12" s="1"/>
  <c r="AQ52" i="12" s="1"/>
  <c r="AR52" i="12" s="1"/>
  <c r="AS52" i="12" s="1"/>
  <c r="O18" i="1"/>
  <c r="Q18" i="1"/>
  <c r="M17" i="1"/>
  <c r="P18" i="1"/>
  <c r="N18" i="1"/>
  <c r="W36" i="6"/>
  <c r="U34" i="6"/>
  <c r="X37" i="6"/>
  <c r="Z39" i="6"/>
  <c r="AJ49" i="6"/>
  <c r="K15" i="1"/>
  <c r="L16" i="1"/>
  <c r="AI48" i="6"/>
  <c r="T33" i="6"/>
  <c r="AA40" i="6"/>
  <c r="AE44" i="6"/>
  <c r="Y38" i="6"/>
  <c r="AF45" i="6"/>
  <c r="AC42" i="6"/>
  <c r="AB41" i="6"/>
  <c r="AD43" i="6"/>
  <c r="V35" i="6"/>
  <c r="AK50" i="6"/>
  <c r="B50" i="12" s="1"/>
  <c r="AH47" i="6"/>
  <c r="J14" i="1"/>
  <c r="AG46" i="6"/>
  <c r="C50" i="12" l="1"/>
  <c r="D51" i="12"/>
  <c r="E51" i="12" s="1"/>
  <c r="F51" i="12" s="1"/>
  <c r="G51" i="12" s="1"/>
  <c r="H51" i="12" s="1"/>
  <c r="I51" i="12" s="1"/>
  <c r="J51" i="12" s="1"/>
  <c r="K51" i="12" s="1"/>
  <c r="L51" i="12" s="1"/>
  <c r="M51" i="12" s="1"/>
  <c r="N51" i="12" s="1"/>
  <c r="O51" i="12" s="1"/>
  <c r="P51" i="12" s="1"/>
  <c r="Q51" i="12" s="1"/>
  <c r="R51" i="12" s="1"/>
  <c r="S51" i="12" s="1"/>
  <c r="T51" i="12" s="1"/>
  <c r="U51" i="12" s="1"/>
  <c r="V51" i="12" s="1"/>
  <c r="W51" i="12" s="1"/>
  <c r="X51" i="12" s="1"/>
  <c r="Y51" i="12" s="1"/>
  <c r="Z51" i="12" s="1"/>
  <c r="AA51" i="12" s="1"/>
  <c r="AB51" i="12" s="1"/>
  <c r="AC51" i="12" s="1"/>
  <c r="AD51" i="12" s="1"/>
  <c r="AE51" i="12" s="1"/>
  <c r="AF51" i="12" s="1"/>
  <c r="AG51" i="12" s="1"/>
  <c r="AH51" i="12" s="1"/>
  <c r="AI51" i="12" s="1"/>
  <c r="AJ51" i="12" s="1"/>
  <c r="AK51" i="12" s="1"/>
  <c r="AL51" i="12" s="1"/>
  <c r="AM51" i="12" s="1"/>
  <c r="AN51" i="12" s="1"/>
  <c r="AO51" i="12" s="1"/>
  <c r="AP51" i="12" s="1"/>
  <c r="AQ51" i="12" s="1"/>
  <c r="AR51" i="12" s="1"/>
  <c r="AS51" i="12" s="1"/>
  <c r="AC41" i="6"/>
  <c r="T32" i="6"/>
  <c r="X36" i="6"/>
  <c r="K14" i="1"/>
  <c r="L15" i="1"/>
  <c r="W35" i="6"/>
  <c r="O17" i="1"/>
  <c r="M16" i="1"/>
  <c r="P17" i="1"/>
  <c r="Q17" i="1"/>
  <c r="N17" i="1"/>
  <c r="Z38" i="6"/>
  <c r="V34" i="6"/>
  <c r="Y37" i="6"/>
  <c r="AA39" i="6"/>
  <c r="AI47" i="6"/>
  <c r="U33" i="6"/>
  <c r="AE43" i="6"/>
  <c r="AJ48" i="6"/>
  <c r="AG45" i="6"/>
  <c r="AK49" i="6"/>
  <c r="B49" i="12" s="1"/>
  <c r="AD42" i="6"/>
  <c r="AF44" i="6"/>
  <c r="J13" i="1"/>
  <c r="AH46" i="6"/>
  <c r="AB40" i="6"/>
  <c r="D50" i="12" l="1"/>
  <c r="C49" i="12"/>
  <c r="E50" i="12"/>
  <c r="F50" i="12" s="1"/>
  <c r="G50" i="12" s="1"/>
  <c r="H50" i="12" s="1"/>
  <c r="I50" i="12" s="1"/>
  <c r="J50" i="12" s="1"/>
  <c r="K50" i="12" s="1"/>
  <c r="L50" i="12" s="1"/>
  <c r="M50" i="12" s="1"/>
  <c r="N50" i="12" s="1"/>
  <c r="O50" i="12" s="1"/>
  <c r="P50" i="12" s="1"/>
  <c r="Q50" i="12" s="1"/>
  <c r="R50" i="12" s="1"/>
  <c r="S50" i="12" s="1"/>
  <c r="T50" i="12" s="1"/>
  <c r="U50" i="12" s="1"/>
  <c r="V50" i="12" s="1"/>
  <c r="W50" i="12" s="1"/>
  <c r="X50" i="12" s="1"/>
  <c r="Y50" i="12" s="1"/>
  <c r="Z50" i="12" s="1"/>
  <c r="AA50" i="12" s="1"/>
  <c r="AB50" i="12" s="1"/>
  <c r="AC50" i="12" s="1"/>
  <c r="AD50" i="12" s="1"/>
  <c r="AE50" i="12" s="1"/>
  <c r="AF50" i="12" s="1"/>
  <c r="AG50" i="12" s="1"/>
  <c r="AH50" i="12" s="1"/>
  <c r="AI50" i="12" s="1"/>
  <c r="AJ50" i="12" s="1"/>
  <c r="AK50" i="12" s="1"/>
  <c r="AL50" i="12" s="1"/>
  <c r="AM50" i="12" s="1"/>
  <c r="AN50" i="12" s="1"/>
  <c r="AO50" i="12" s="1"/>
  <c r="AP50" i="12" s="1"/>
  <c r="AQ50" i="12" s="1"/>
  <c r="AR50" i="12" s="1"/>
  <c r="AS50" i="12" s="1"/>
  <c r="Z37" i="6"/>
  <c r="P16" i="1"/>
  <c r="N16" i="1"/>
  <c r="O16" i="1"/>
  <c r="Q16" i="1"/>
  <c r="M15" i="1"/>
  <c r="AI46" i="6"/>
  <c r="AB39" i="6"/>
  <c r="J12" i="1"/>
  <c r="AD41" i="6"/>
  <c r="AK48" i="6"/>
  <c r="B48" i="12" s="1"/>
  <c r="AA38" i="6"/>
  <c r="T31" i="6"/>
  <c r="K13" i="1"/>
  <c r="L14" i="1"/>
  <c r="AC40" i="6"/>
  <c r="AG44" i="6"/>
  <c r="AJ47" i="6"/>
  <c r="AE42" i="6"/>
  <c r="V33" i="6"/>
  <c r="W34" i="6"/>
  <c r="X35" i="6"/>
  <c r="U32" i="6"/>
  <c r="AH45" i="6"/>
  <c r="AF43" i="6"/>
  <c r="Y36" i="6"/>
  <c r="C48" i="12" l="1"/>
  <c r="D49" i="12"/>
  <c r="E49" i="12" s="1"/>
  <c r="F49" i="12" s="1"/>
  <c r="G49" i="12" s="1"/>
  <c r="H49" i="12" s="1"/>
  <c r="I49" i="12" s="1"/>
  <c r="J49" i="12" s="1"/>
  <c r="K49" i="12" s="1"/>
  <c r="L49" i="12" s="1"/>
  <c r="M49" i="12" s="1"/>
  <c r="N49" i="12" s="1"/>
  <c r="O49" i="12" s="1"/>
  <c r="P49" i="12" s="1"/>
  <c r="Q49" i="12" s="1"/>
  <c r="R49" i="12" s="1"/>
  <c r="S49" i="12" s="1"/>
  <c r="T49" i="12" s="1"/>
  <c r="U49" i="12" s="1"/>
  <c r="V49" i="12" s="1"/>
  <c r="W49" i="12" s="1"/>
  <c r="X49" i="12" s="1"/>
  <c r="Y49" i="12" s="1"/>
  <c r="Z49" i="12" s="1"/>
  <c r="AA49" i="12" s="1"/>
  <c r="AB49" i="12" s="1"/>
  <c r="AC49" i="12" s="1"/>
  <c r="AD49" i="12" s="1"/>
  <c r="AE49" i="12" s="1"/>
  <c r="AF49" i="12" s="1"/>
  <c r="AG49" i="12" s="1"/>
  <c r="AH49" i="12" s="1"/>
  <c r="AI49" i="12" s="1"/>
  <c r="AJ49" i="12" s="1"/>
  <c r="AK49" i="12" s="1"/>
  <c r="AL49" i="12" s="1"/>
  <c r="AM49" i="12" s="1"/>
  <c r="AN49" i="12" s="1"/>
  <c r="AO49" i="12" s="1"/>
  <c r="AP49" i="12" s="1"/>
  <c r="AQ49" i="12" s="1"/>
  <c r="AR49" i="12" s="1"/>
  <c r="AS49" i="12" s="1"/>
  <c r="AB38" i="6"/>
  <c r="AF42" i="6"/>
  <c r="AG43" i="6"/>
  <c r="X34" i="6"/>
  <c r="AH44" i="6"/>
  <c r="K12" i="1"/>
  <c r="L13" i="1"/>
  <c r="AK47" i="6"/>
  <c r="B47" i="12" s="1"/>
  <c r="U31" i="6"/>
  <c r="AI45" i="6"/>
  <c r="Z36" i="6"/>
  <c r="W33" i="6"/>
  <c r="AE41" i="6"/>
  <c r="AC39" i="6"/>
  <c r="AD40" i="6"/>
  <c r="Y35" i="6"/>
  <c r="Q15" i="1"/>
  <c r="N15" i="1"/>
  <c r="O15" i="1"/>
  <c r="M14" i="1"/>
  <c r="P15" i="1"/>
  <c r="T30" i="6"/>
  <c r="AJ46" i="6"/>
  <c r="AA37" i="6"/>
  <c r="J11" i="1"/>
  <c r="V32" i="6"/>
  <c r="C47" i="12" l="1"/>
  <c r="D48" i="12"/>
  <c r="E48" i="12" s="1"/>
  <c r="F48" i="12" s="1"/>
  <c r="G48" i="12" s="1"/>
  <c r="H48" i="12" s="1"/>
  <c r="I48" i="12" s="1"/>
  <c r="J48" i="12" s="1"/>
  <c r="K48" i="12" s="1"/>
  <c r="L48" i="12" s="1"/>
  <c r="M48" i="12" s="1"/>
  <c r="N48" i="12" s="1"/>
  <c r="O48" i="12" s="1"/>
  <c r="P48" i="12" s="1"/>
  <c r="Q48" i="12" s="1"/>
  <c r="R48" i="12" s="1"/>
  <c r="S48" i="12" s="1"/>
  <c r="T48" i="12" s="1"/>
  <c r="U48" i="12" s="1"/>
  <c r="V48" i="12" s="1"/>
  <c r="W48" i="12" s="1"/>
  <c r="X48" i="12" s="1"/>
  <c r="Y48" i="12" s="1"/>
  <c r="Z48" i="12" s="1"/>
  <c r="AA48" i="12" s="1"/>
  <c r="AB48" i="12" s="1"/>
  <c r="AC48" i="12" s="1"/>
  <c r="AD48" i="12" s="1"/>
  <c r="AE48" i="12" s="1"/>
  <c r="AF48" i="12" s="1"/>
  <c r="AG48" i="12" s="1"/>
  <c r="AH48" i="12" s="1"/>
  <c r="AI48" i="12" s="1"/>
  <c r="AJ48" i="12" s="1"/>
  <c r="AK48" i="12" s="1"/>
  <c r="AL48" i="12" s="1"/>
  <c r="AM48" i="12" s="1"/>
  <c r="AN48" i="12" s="1"/>
  <c r="AO48" i="12" s="1"/>
  <c r="AP48" i="12" s="1"/>
  <c r="AQ48" i="12" s="1"/>
  <c r="AR48" i="12" s="1"/>
  <c r="AS48" i="12" s="1"/>
  <c r="T29" i="6"/>
  <c r="U30" i="6"/>
  <c r="K11" i="1"/>
  <c r="L12" i="1"/>
  <c r="V31" i="6"/>
  <c r="AC38" i="6"/>
  <c r="Z35" i="6"/>
  <c r="AH43" i="6"/>
  <c r="AG42" i="6"/>
  <c r="AF41" i="6"/>
  <c r="AE40" i="6"/>
  <c r="AB37" i="6"/>
  <c r="Y34" i="6"/>
  <c r="AD39" i="6"/>
  <c r="J10" i="1"/>
  <c r="M13" i="1"/>
  <c r="P14" i="1"/>
  <c r="Q14" i="1"/>
  <c r="N14" i="1"/>
  <c r="O14" i="1"/>
  <c r="AI44" i="6"/>
  <c r="AA36" i="6"/>
  <c r="AJ45" i="6"/>
  <c r="W32" i="6"/>
  <c r="AK46" i="6"/>
  <c r="B46" i="12" s="1"/>
  <c r="X33" i="6"/>
  <c r="D47" i="12" l="1"/>
  <c r="E47" i="12" s="1"/>
  <c r="F47" i="12" s="1"/>
  <c r="G47" i="12" s="1"/>
  <c r="H47" i="12" s="1"/>
  <c r="I47" i="12" s="1"/>
  <c r="J47" i="12" s="1"/>
  <c r="K47" i="12" s="1"/>
  <c r="L47" i="12" s="1"/>
  <c r="M47" i="12" s="1"/>
  <c r="N47" i="12" s="1"/>
  <c r="O47" i="12" s="1"/>
  <c r="P47" i="12" s="1"/>
  <c r="Q47" i="12" s="1"/>
  <c r="R47" i="12" s="1"/>
  <c r="S47" i="12" s="1"/>
  <c r="T47" i="12" s="1"/>
  <c r="U47" i="12" s="1"/>
  <c r="V47" i="12" s="1"/>
  <c r="W47" i="12" s="1"/>
  <c r="X47" i="12" s="1"/>
  <c r="Y47" i="12" s="1"/>
  <c r="Z47" i="12" s="1"/>
  <c r="AA47" i="12" s="1"/>
  <c r="AB47" i="12" s="1"/>
  <c r="AC47" i="12" s="1"/>
  <c r="AD47" i="12" s="1"/>
  <c r="AE47" i="12" s="1"/>
  <c r="AF47" i="12" s="1"/>
  <c r="AG47" i="12" s="1"/>
  <c r="AH47" i="12" s="1"/>
  <c r="AI47" i="12" s="1"/>
  <c r="AJ47" i="12" s="1"/>
  <c r="AK47" i="12" s="1"/>
  <c r="AL47" i="12" s="1"/>
  <c r="AM47" i="12" s="1"/>
  <c r="AN47" i="12" s="1"/>
  <c r="AO47" i="12" s="1"/>
  <c r="AP47" i="12" s="1"/>
  <c r="AQ47" i="12" s="1"/>
  <c r="AR47" i="12" s="1"/>
  <c r="AS47" i="12" s="1"/>
  <c r="C46" i="12"/>
  <c r="X32" i="6"/>
  <c r="AA35" i="6"/>
  <c r="AD38" i="6"/>
  <c r="AH42" i="6"/>
  <c r="U29" i="6"/>
  <c r="AJ44" i="6"/>
  <c r="AI43" i="6"/>
  <c r="O13" i="1"/>
  <c r="M12" i="1"/>
  <c r="Q13" i="1"/>
  <c r="P13" i="1"/>
  <c r="N13" i="1"/>
  <c r="Y33" i="6"/>
  <c r="AE39" i="6"/>
  <c r="V30" i="6"/>
  <c r="T28" i="6"/>
  <c r="J9" i="1"/>
  <c r="AF40" i="6"/>
  <c r="Z34" i="6"/>
  <c r="W31" i="6"/>
  <c r="AB36" i="6"/>
  <c r="AK45" i="6"/>
  <c r="B45" i="12" s="1"/>
  <c r="L11" i="1"/>
  <c r="K10" i="1"/>
  <c r="AG41" i="6"/>
  <c r="AC37" i="6"/>
  <c r="C45" i="12" l="1"/>
  <c r="D46" i="12"/>
  <c r="E46" i="12" s="1"/>
  <c r="F46" i="12" s="1"/>
  <c r="G46" i="12" s="1"/>
  <c r="H46" i="12" s="1"/>
  <c r="I46" i="12" s="1"/>
  <c r="J46" i="12" s="1"/>
  <c r="K46" i="12" s="1"/>
  <c r="L46" i="12" s="1"/>
  <c r="M46" i="12" s="1"/>
  <c r="N46" i="12" s="1"/>
  <c r="O46" i="12" s="1"/>
  <c r="P46" i="12" s="1"/>
  <c r="Q46" i="12" s="1"/>
  <c r="R46" i="12" s="1"/>
  <c r="S46" i="12" s="1"/>
  <c r="T46" i="12" s="1"/>
  <c r="U46" i="12" s="1"/>
  <c r="V46" i="12" s="1"/>
  <c r="W46" i="12" s="1"/>
  <c r="X46" i="12" s="1"/>
  <c r="Y46" i="12" s="1"/>
  <c r="Z46" i="12" s="1"/>
  <c r="AA46" i="12" s="1"/>
  <c r="AB46" i="12" s="1"/>
  <c r="AC46" i="12" s="1"/>
  <c r="AD46" i="12" s="1"/>
  <c r="AE46" i="12" s="1"/>
  <c r="AF46" i="12" s="1"/>
  <c r="AG46" i="12" s="1"/>
  <c r="AH46" i="12" s="1"/>
  <c r="AI46" i="12" s="1"/>
  <c r="AJ46" i="12" s="1"/>
  <c r="AK46" i="12" s="1"/>
  <c r="AL46" i="12" s="1"/>
  <c r="AM46" i="12" s="1"/>
  <c r="AN46" i="12" s="1"/>
  <c r="AO46" i="12" s="1"/>
  <c r="AP46" i="12" s="1"/>
  <c r="AQ46" i="12" s="1"/>
  <c r="AR46" i="12" s="1"/>
  <c r="AS46" i="12" s="1"/>
  <c r="J8" i="1"/>
  <c r="Y32" i="6"/>
  <c r="AI42" i="6"/>
  <c r="AJ43" i="6"/>
  <c r="AH41" i="6"/>
  <c r="AG40" i="6"/>
  <c r="AF39" i="6"/>
  <c r="T27" i="6"/>
  <c r="Z33" i="6"/>
  <c r="W30" i="6"/>
  <c r="AA34" i="6"/>
  <c r="AE38" i="6"/>
  <c r="AK44" i="6"/>
  <c r="B44" i="12" s="1"/>
  <c r="AB35" i="6"/>
  <c r="V29" i="6"/>
  <c r="M11" i="1"/>
  <c r="P12" i="1"/>
  <c r="N12" i="1"/>
  <c r="O12" i="1"/>
  <c r="Q12" i="1"/>
  <c r="U28" i="6"/>
  <c r="X31" i="6"/>
  <c r="AC36" i="6"/>
  <c r="K9" i="1"/>
  <c r="L10" i="1"/>
  <c r="AD37" i="6"/>
  <c r="C44" i="12" l="1"/>
  <c r="D45" i="12"/>
  <c r="E45" i="12" s="1"/>
  <c r="F45" i="12" s="1"/>
  <c r="G45" i="12" s="1"/>
  <c r="H45" i="12" s="1"/>
  <c r="I45" i="12" s="1"/>
  <c r="J45" i="12" s="1"/>
  <c r="K45" i="12" s="1"/>
  <c r="L45" i="12" s="1"/>
  <c r="M45" i="12" s="1"/>
  <c r="N45" i="12" s="1"/>
  <c r="O45" i="12" s="1"/>
  <c r="P45" i="12" s="1"/>
  <c r="Q45" i="12" s="1"/>
  <c r="R45" i="12" s="1"/>
  <c r="S45" i="12" s="1"/>
  <c r="T45" i="12" s="1"/>
  <c r="U45" i="12" s="1"/>
  <c r="V45" i="12" s="1"/>
  <c r="W45" i="12" s="1"/>
  <c r="X45" i="12" s="1"/>
  <c r="Y45" i="12" s="1"/>
  <c r="Z45" i="12" s="1"/>
  <c r="AA45" i="12" s="1"/>
  <c r="AB45" i="12" s="1"/>
  <c r="AC45" i="12" s="1"/>
  <c r="AD45" i="12" s="1"/>
  <c r="AE45" i="12" s="1"/>
  <c r="AF45" i="12" s="1"/>
  <c r="AG45" i="12" s="1"/>
  <c r="AH45" i="12" s="1"/>
  <c r="AI45" i="12" s="1"/>
  <c r="AJ45" i="12" s="1"/>
  <c r="AK45" i="12" s="1"/>
  <c r="AL45" i="12" s="1"/>
  <c r="AM45" i="12" s="1"/>
  <c r="AN45" i="12" s="1"/>
  <c r="AO45" i="12" s="1"/>
  <c r="AP45" i="12" s="1"/>
  <c r="AQ45" i="12" s="1"/>
  <c r="AR45" i="12" s="1"/>
  <c r="AS45" i="12" s="1"/>
  <c r="T26" i="6"/>
  <c r="AG39" i="6"/>
  <c r="AJ42" i="6"/>
  <c r="AD36" i="6"/>
  <c r="L9" i="1"/>
  <c r="K8" i="1"/>
  <c r="AB34" i="6"/>
  <c r="AC35" i="6"/>
  <c r="AA33" i="6"/>
  <c r="AI41" i="6"/>
  <c r="V28" i="6"/>
  <c r="AK43" i="6"/>
  <c r="B43" i="12" s="1"/>
  <c r="AF38" i="6"/>
  <c r="X30" i="6"/>
  <c r="W29" i="6"/>
  <c r="Z32" i="6"/>
  <c r="Y31" i="6"/>
  <c r="AE37" i="6"/>
  <c r="U27" i="6"/>
  <c r="Q11" i="1"/>
  <c r="O11" i="1"/>
  <c r="N11" i="1"/>
  <c r="M10" i="1"/>
  <c r="P11" i="1"/>
  <c r="AH40" i="6"/>
  <c r="J7" i="1"/>
  <c r="C43" i="12" l="1"/>
  <c r="D44" i="12"/>
  <c r="E44" i="12" s="1"/>
  <c r="F44" i="12" s="1"/>
  <c r="G44" i="12" s="1"/>
  <c r="H44" i="12" s="1"/>
  <c r="I44" i="12" s="1"/>
  <c r="J44" i="12" s="1"/>
  <c r="K44" i="12" s="1"/>
  <c r="L44" i="12" s="1"/>
  <c r="M44" i="12" s="1"/>
  <c r="N44" i="12" s="1"/>
  <c r="O44" i="12" s="1"/>
  <c r="P44" i="12" s="1"/>
  <c r="Q44" i="12" s="1"/>
  <c r="R44" i="12" s="1"/>
  <c r="S44" i="12" s="1"/>
  <c r="T44" i="12" s="1"/>
  <c r="U44" i="12" s="1"/>
  <c r="V44" i="12" s="1"/>
  <c r="W44" i="12" s="1"/>
  <c r="X44" i="12" s="1"/>
  <c r="Y44" i="12" s="1"/>
  <c r="Z44" i="12" s="1"/>
  <c r="AA44" i="12" s="1"/>
  <c r="AB44" i="12" s="1"/>
  <c r="AC44" i="12" s="1"/>
  <c r="AD44" i="12" s="1"/>
  <c r="AE44" i="12" s="1"/>
  <c r="AF44" i="12" s="1"/>
  <c r="AG44" i="12" s="1"/>
  <c r="AH44" i="12" s="1"/>
  <c r="AI44" i="12" s="1"/>
  <c r="AJ44" i="12" s="1"/>
  <c r="AK44" i="12" s="1"/>
  <c r="AL44" i="12" s="1"/>
  <c r="AM44" i="12" s="1"/>
  <c r="AN44" i="12" s="1"/>
  <c r="AO44" i="12" s="1"/>
  <c r="AP44" i="12" s="1"/>
  <c r="AQ44" i="12" s="1"/>
  <c r="AR44" i="12" s="1"/>
  <c r="AS44" i="12" s="1"/>
  <c r="W28" i="6"/>
  <c r="V27" i="6"/>
  <c r="AI40" i="6"/>
  <c r="AB33" i="6"/>
  <c r="AJ41" i="6"/>
  <c r="AH39" i="6"/>
  <c r="U26" i="6"/>
  <c r="Y30" i="6"/>
  <c r="X29" i="6"/>
  <c r="AA32" i="6"/>
  <c r="AC34" i="6"/>
  <c r="AE36" i="6"/>
  <c r="AF37" i="6"/>
  <c r="AK42" i="6"/>
  <c r="B42" i="12" s="1"/>
  <c r="K7" i="1"/>
  <c r="L8" i="1"/>
  <c r="AG38" i="6"/>
  <c r="M9" i="1"/>
  <c r="P10" i="1"/>
  <c r="N10" i="1"/>
  <c r="O10" i="1"/>
  <c r="Q10" i="1"/>
  <c r="Z31" i="6"/>
  <c r="T25" i="6"/>
  <c r="J6" i="1"/>
  <c r="AD35" i="6"/>
  <c r="C42" i="12" l="1"/>
  <c r="D43" i="12"/>
  <c r="E43" i="12" s="1"/>
  <c r="F43" i="12" s="1"/>
  <c r="G43" i="12" s="1"/>
  <c r="H43" i="12" s="1"/>
  <c r="I43" i="12" s="1"/>
  <c r="J43" i="12" s="1"/>
  <c r="K43" i="12" s="1"/>
  <c r="L43" i="12" s="1"/>
  <c r="M43" i="12" s="1"/>
  <c r="N43" i="12" s="1"/>
  <c r="O43" i="12" s="1"/>
  <c r="P43" i="12" s="1"/>
  <c r="Q43" i="12" s="1"/>
  <c r="R43" i="12" s="1"/>
  <c r="S43" i="12" s="1"/>
  <c r="T43" i="12" s="1"/>
  <c r="U43" i="12" s="1"/>
  <c r="V43" i="12" s="1"/>
  <c r="W43" i="12" s="1"/>
  <c r="X43" i="12" s="1"/>
  <c r="Y43" i="12" s="1"/>
  <c r="Z43" i="12" s="1"/>
  <c r="AA43" i="12" s="1"/>
  <c r="AB43" i="12" s="1"/>
  <c r="AC43" i="12" s="1"/>
  <c r="AD43" i="12" s="1"/>
  <c r="AE43" i="12" s="1"/>
  <c r="AF43" i="12" s="1"/>
  <c r="AG43" i="12" s="1"/>
  <c r="AH43" i="12" s="1"/>
  <c r="AI43" i="12" s="1"/>
  <c r="AJ43" i="12" s="1"/>
  <c r="AK43" i="12" s="1"/>
  <c r="AL43" i="12" s="1"/>
  <c r="AM43" i="12" s="1"/>
  <c r="AN43" i="12" s="1"/>
  <c r="AO43" i="12" s="1"/>
  <c r="AP43" i="12" s="1"/>
  <c r="AQ43" i="12" s="1"/>
  <c r="AR43" i="12" s="1"/>
  <c r="AS43" i="12" s="1"/>
  <c r="Y29" i="6"/>
  <c r="W27" i="6"/>
  <c r="AC33" i="6"/>
  <c r="AK41" i="6"/>
  <c r="B41" i="12" s="1"/>
  <c r="AB32" i="6"/>
  <c r="AA31" i="6"/>
  <c r="U25" i="6"/>
  <c r="T24" i="6"/>
  <c r="AG37" i="6"/>
  <c r="AF36" i="6"/>
  <c r="J5" i="1"/>
  <c r="AD34" i="6"/>
  <c r="AH38" i="6"/>
  <c r="AI39" i="6"/>
  <c r="X28" i="6"/>
  <c r="AJ40" i="6"/>
  <c r="L7" i="1"/>
  <c r="K6" i="1"/>
  <c r="V26" i="6"/>
  <c r="Z30" i="6"/>
  <c r="M8" i="1"/>
  <c r="P9" i="1"/>
  <c r="Q9" i="1"/>
  <c r="N9" i="1"/>
  <c r="O9" i="1"/>
  <c r="AE35" i="6"/>
  <c r="C41" i="12" l="1"/>
  <c r="D42" i="12"/>
  <c r="E42" i="12" s="1"/>
  <c r="F42" i="12" s="1"/>
  <c r="G42" i="12" s="1"/>
  <c r="H42" i="12" s="1"/>
  <c r="I42" i="12" s="1"/>
  <c r="J42" i="12" s="1"/>
  <c r="K42" i="12" s="1"/>
  <c r="L42" i="12" s="1"/>
  <c r="M42" i="12" s="1"/>
  <c r="N42" i="12" s="1"/>
  <c r="O42" i="12" s="1"/>
  <c r="P42" i="12" s="1"/>
  <c r="Q42" i="12" s="1"/>
  <c r="R42" i="12" s="1"/>
  <c r="S42" i="12" s="1"/>
  <c r="T42" i="12" s="1"/>
  <c r="U42" i="12" s="1"/>
  <c r="V42" i="12" s="1"/>
  <c r="W42" i="12" s="1"/>
  <c r="X42" i="12" s="1"/>
  <c r="Y42" i="12" s="1"/>
  <c r="Z42" i="12" s="1"/>
  <c r="AA42" i="12" s="1"/>
  <c r="AB42" i="12" s="1"/>
  <c r="AC42" i="12" s="1"/>
  <c r="AD42" i="12" s="1"/>
  <c r="AE42" i="12" s="1"/>
  <c r="AF42" i="12" s="1"/>
  <c r="AG42" i="12" s="1"/>
  <c r="AH42" i="12" s="1"/>
  <c r="AI42" i="12" s="1"/>
  <c r="AJ42" i="12" s="1"/>
  <c r="AK42" i="12" s="1"/>
  <c r="AL42" i="12" s="1"/>
  <c r="AM42" i="12" s="1"/>
  <c r="AN42" i="12" s="1"/>
  <c r="AO42" i="12" s="1"/>
  <c r="AP42" i="12" s="1"/>
  <c r="AQ42" i="12" s="1"/>
  <c r="AR42" i="12" s="1"/>
  <c r="AS42" i="12" s="1"/>
  <c r="AE34" i="6"/>
  <c r="AJ39" i="6"/>
  <c r="AI38" i="6"/>
  <c r="AF35" i="6"/>
  <c r="AC32" i="6"/>
  <c r="J4" i="1"/>
  <c r="AK40" i="6"/>
  <c r="B40" i="12" s="1"/>
  <c r="Z29" i="6"/>
  <c r="K5" i="1"/>
  <c r="L6" i="1"/>
  <c r="AH37" i="6"/>
  <c r="AG36" i="6"/>
  <c r="T23" i="6"/>
  <c r="Y28" i="6"/>
  <c r="X27" i="6"/>
  <c r="U24" i="6"/>
  <c r="AD33" i="6"/>
  <c r="AA30" i="6"/>
  <c r="AB31" i="6"/>
  <c r="P8" i="1"/>
  <c r="Q8" i="1"/>
  <c r="O8" i="1"/>
  <c r="N8" i="1"/>
  <c r="M7" i="1"/>
  <c r="W26" i="6"/>
  <c r="V25" i="6"/>
  <c r="C40" i="12" l="1"/>
  <c r="D41" i="12"/>
  <c r="E41" i="12" s="1"/>
  <c r="F41" i="12" s="1"/>
  <c r="G41" i="12" s="1"/>
  <c r="H41" i="12" s="1"/>
  <c r="I41" i="12" s="1"/>
  <c r="J41" i="12" s="1"/>
  <c r="K41" i="12" s="1"/>
  <c r="L41" i="12" s="1"/>
  <c r="M41" i="12" s="1"/>
  <c r="N41" i="12" s="1"/>
  <c r="O41" i="12" s="1"/>
  <c r="P41" i="12" s="1"/>
  <c r="Q41" i="12" s="1"/>
  <c r="R41" i="12" s="1"/>
  <c r="S41" i="12" s="1"/>
  <c r="T41" i="12" s="1"/>
  <c r="U41" i="12" s="1"/>
  <c r="V41" i="12" s="1"/>
  <c r="W41" i="12" s="1"/>
  <c r="X41" i="12" s="1"/>
  <c r="Y41" i="12" s="1"/>
  <c r="Z41" i="12" s="1"/>
  <c r="AA41" i="12" s="1"/>
  <c r="AB41" i="12" s="1"/>
  <c r="AC41" i="12" s="1"/>
  <c r="AD41" i="12" s="1"/>
  <c r="AE41" i="12" s="1"/>
  <c r="AF41" i="12" s="1"/>
  <c r="AG41" i="12" s="1"/>
  <c r="AH41" i="12" s="1"/>
  <c r="AI41" i="12" s="1"/>
  <c r="AJ41" i="12" s="1"/>
  <c r="AK41" i="12" s="1"/>
  <c r="AL41" i="12" s="1"/>
  <c r="AM41" i="12" s="1"/>
  <c r="AN41" i="12" s="1"/>
  <c r="AO41" i="12" s="1"/>
  <c r="AP41" i="12" s="1"/>
  <c r="AQ41" i="12" s="1"/>
  <c r="AR41" i="12" s="1"/>
  <c r="AS41" i="12" s="1"/>
  <c r="AI37" i="6"/>
  <c r="V24" i="6"/>
  <c r="X26" i="6"/>
  <c r="AH36" i="6"/>
  <c r="AF34" i="6"/>
  <c r="AJ38" i="6"/>
  <c r="AE33" i="6"/>
  <c r="AA29" i="6"/>
  <c r="T22" i="6"/>
  <c r="AK39" i="6"/>
  <c r="B39" i="12" s="1"/>
  <c r="AB30" i="6"/>
  <c r="Z28" i="6"/>
  <c r="U23" i="6"/>
  <c r="AD32" i="6"/>
  <c r="Y27" i="6"/>
  <c r="AG35" i="6"/>
  <c r="L5" i="1"/>
  <c r="K4" i="1"/>
  <c r="J3" i="1"/>
  <c r="W25" i="6"/>
  <c r="O7" i="1"/>
  <c r="M6" i="1"/>
  <c r="P7" i="1"/>
  <c r="Q7" i="1"/>
  <c r="N7" i="1"/>
  <c r="AC31" i="6"/>
  <c r="C39" i="12" l="1"/>
  <c r="D40" i="12"/>
  <c r="E40" i="12" s="1"/>
  <c r="F40" i="12" s="1"/>
  <c r="G40" i="12" s="1"/>
  <c r="H40" i="12" s="1"/>
  <c r="I40" i="12" s="1"/>
  <c r="J40" i="12" s="1"/>
  <c r="K40" i="12" s="1"/>
  <c r="L40" i="12" s="1"/>
  <c r="M40" i="12" s="1"/>
  <c r="N40" i="12" s="1"/>
  <c r="O40" i="12" s="1"/>
  <c r="P40" i="12" s="1"/>
  <c r="Q40" i="12" s="1"/>
  <c r="R40" i="12" s="1"/>
  <c r="S40" i="12" s="1"/>
  <c r="T40" i="12" s="1"/>
  <c r="U40" i="12" s="1"/>
  <c r="V40" i="12" s="1"/>
  <c r="W40" i="12" s="1"/>
  <c r="X40" i="12" s="1"/>
  <c r="Y40" i="12" s="1"/>
  <c r="Z40" i="12" s="1"/>
  <c r="AA40" i="12" s="1"/>
  <c r="AB40" i="12" s="1"/>
  <c r="AC40" i="12" s="1"/>
  <c r="AD40" i="12" s="1"/>
  <c r="AE40" i="12" s="1"/>
  <c r="AF40" i="12" s="1"/>
  <c r="AG40" i="12" s="1"/>
  <c r="AH40" i="12" s="1"/>
  <c r="AI40" i="12" s="1"/>
  <c r="AJ40" i="12" s="1"/>
  <c r="AK40" i="12" s="1"/>
  <c r="AL40" i="12" s="1"/>
  <c r="AM40" i="12" s="1"/>
  <c r="AN40" i="12" s="1"/>
  <c r="AO40" i="12" s="1"/>
  <c r="AP40" i="12" s="1"/>
  <c r="AQ40" i="12" s="1"/>
  <c r="AR40" i="12" s="1"/>
  <c r="AS40" i="12" s="1"/>
  <c r="AA28" i="6"/>
  <c r="Z27" i="6"/>
  <c r="AH35" i="6"/>
  <c r="P6" i="1"/>
  <c r="O6" i="1"/>
  <c r="Q6" i="1"/>
  <c r="M5" i="1"/>
  <c r="N6" i="1"/>
  <c r="AK38" i="6"/>
  <c r="B38" i="12" s="1"/>
  <c r="AC30" i="6"/>
  <c r="L4" i="1"/>
  <c r="K3" i="1"/>
  <c r="AE32" i="6"/>
  <c r="X25" i="6"/>
  <c r="AI36" i="6"/>
  <c r="T21" i="6"/>
  <c r="AJ37" i="6"/>
  <c r="AG34" i="6"/>
  <c r="AD31" i="6"/>
  <c r="U22" i="6"/>
  <c r="AB29" i="6"/>
  <c r="W24" i="6"/>
  <c r="AF33" i="6"/>
  <c r="Y26" i="6"/>
  <c r="V23" i="6"/>
  <c r="C38" i="12" l="1"/>
  <c r="D39" i="12"/>
  <c r="E39" i="12" s="1"/>
  <c r="F39" i="12" s="1"/>
  <c r="G39" i="12" s="1"/>
  <c r="H39" i="12" s="1"/>
  <c r="I39" i="12" s="1"/>
  <c r="J39" i="12" s="1"/>
  <c r="K39" i="12" s="1"/>
  <c r="L39" i="12" s="1"/>
  <c r="M39" i="12" s="1"/>
  <c r="N39" i="12" s="1"/>
  <c r="O39" i="12" s="1"/>
  <c r="P39" i="12" s="1"/>
  <c r="Q39" i="12" s="1"/>
  <c r="R39" i="12" s="1"/>
  <c r="S39" i="12" s="1"/>
  <c r="T39" i="12" s="1"/>
  <c r="U39" i="12" s="1"/>
  <c r="V39" i="12" s="1"/>
  <c r="W39" i="12" s="1"/>
  <c r="X39" i="12" s="1"/>
  <c r="Y39" i="12" s="1"/>
  <c r="Z39" i="12" s="1"/>
  <c r="AA39" i="12" s="1"/>
  <c r="AB39" i="12" s="1"/>
  <c r="AC39" i="12" s="1"/>
  <c r="AD39" i="12" s="1"/>
  <c r="AE39" i="12" s="1"/>
  <c r="AF39" i="12" s="1"/>
  <c r="AG39" i="12" s="1"/>
  <c r="AH39" i="12" s="1"/>
  <c r="AI39" i="12" s="1"/>
  <c r="AJ39" i="12" s="1"/>
  <c r="AK39" i="12" s="1"/>
  <c r="AL39" i="12" s="1"/>
  <c r="AM39" i="12" s="1"/>
  <c r="AN39" i="12" s="1"/>
  <c r="AO39" i="12" s="1"/>
  <c r="AP39" i="12" s="1"/>
  <c r="AQ39" i="12" s="1"/>
  <c r="AR39" i="12" s="1"/>
  <c r="AS39" i="12" s="1"/>
  <c r="V22" i="6"/>
  <c r="AB28" i="6"/>
  <c r="AH34" i="6"/>
  <c r="Y25" i="6"/>
  <c r="U21" i="6"/>
  <c r="AJ36" i="6"/>
  <c r="AE31" i="6"/>
  <c r="AC29" i="6"/>
  <c r="M4" i="1"/>
  <c r="P5" i="1"/>
  <c r="Q5" i="1"/>
  <c r="N5" i="1"/>
  <c r="O5" i="1"/>
  <c r="AD30" i="6"/>
  <c r="AI35" i="6"/>
  <c r="L3" i="1"/>
  <c r="AF32" i="6"/>
  <c r="AK37" i="6"/>
  <c r="B37" i="12" s="1"/>
  <c r="AA27" i="6"/>
  <c r="W23" i="6"/>
  <c r="AG33" i="6"/>
  <c r="T20" i="6"/>
  <c r="X24" i="6"/>
  <c r="Z26" i="6"/>
  <c r="C37" i="12" l="1"/>
  <c r="D38" i="12"/>
  <c r="E38" i="12" s="1"/>
  <c r="F38" i="12" s="1"/>
  <c r="G38" i="12" s="1"/>
  <c r="H38" i="12" s="1"/>
  <c r="I38" i="12" s="1"/>
  <c r="J38" i="12" s="1"/>
  <c r="K38" i="12" s="1"/>
  <c r="L38" i="12" s="1"/>
  <c r="M38" i="12" s="1"/>
  <c r="N38" i="12" s="1"/>
  <c r="O38" i="12" s="1"/>
  <c r="P38" i="12" s="1"/>
  <c r="Q38" i="12" s="1"/>
  <c r="R38" i="12" s="1"/>
  <c r="S38" i="12" s="1"/>
  <c r="T38" i="12" s="1"/>
  <c r="U38" i="12" s="1"/>
  <c r="V38" i="12" s="1"/>
  <c r="W38" i="12" s="1"/>
  <c r="X38" i="12" s="1"/>
  <c r="Y38" i="12" s="1"/>
  <c r="Z38" i="12" s="1"/>
  <c r="AA38" i="12" s="1"/>
  <c r="AB38" i="12" s="1"/>
  <c r="AC38" i="12" s="1"/>
  <c r="AD38" i="12" s="1"/>
  <c r="AE38" i="12" s="1"/>
  <c r="AF38" i="12" s="1"/>
  <c r="AG38" i="12" s="1"/>
  <c r="AH38" i="12" s="1"/>
  <c r="AI38" i="12" s="1"/>
  <c r="AJ38" i="12" s="1"/>
  <c r="AK38" i="12" s="1"/>
  <c r="AL38" i="12" s="1"/>
  <c r="AM38" i="12" s="1"/>
  <c r="AN38" i="12" s="1"/>
  <c r="AO38" i="12" s="1"/>
  <c r="AP38" i="12" s="1"/>
  <c r="AQ38" i="12" s="1"/>
  <c r="AR38" i="12" s="1"/>
  <c r="AS38" i="12" s="1"/>
  <c r="W22" i="6"/>
  <c r="AA26" i="6"/>
  <c r="AC28" i="6"/>
  <c r="V21" i="6"/>
  <c r="AH33" i="6"/>
  <c r="X23" i="6"/>
  <c r="AE30" i="6"/>
  <c r="AJ35" i="6"/>
  <c r="AI34" i="6"/>
  <c r="AK36" i="6"/>
  <c r="B36" i="12" s="1"/>
  <c r="AB27" i="6"/>
  <c r="Y24" i="6"/>
  <c r="Z25" i="6"/>
  <c r="T19" i="6"/>
  <c r="AF31" i="6"/>
  <c r="AG32" i="6"/>
  <c r="AD29" i="6"/>
  <c r="M3" i="1"/>
  <c r="P4" i="1"/>
  <c r="N4" i="1"/>
  <c r="O4" i="1"/>
  <c r="Q4" i="1"/>
  <c r="U20" i="6"/>
  <c r="C36" i="12" l="1"/>
  <c r="D37" i="12"/>
  <c r="E37" i="12" s="1"/>
  <c r="F37" i="12" s="1"/>
  <c r="G37" i="12" s="1"/>
  <c r="H37" i="12" s="1"/>
  <c r="I37" i="12" s="1"/>
  <c r="J37" i="12" s="1"/>
  <c r="K37" i="12" s="1"/>
  <c r="L37" i="12" s="1"/>
  <c r="M37" i="12" s="1"/>
  <c r="N37" i="12" s="1"/>
  <c r="O37" i="12" s="1"/>
  <c r="P37" i="12" s="1"/>
  <c r="Q37" i="12" s="1"/>
  <c r="R37" i="12" s="1"/>
  <c r="S37" i="12" s="1"/>
  <c r="T37" i="12" s="1"/>
  <c r="U37" i="12" s="1"/>
  <c r="V37" i="12" s="1"/>
  <c r="W37" i="12" s="1"/>
  <c r="X37" i="12" s="1"/>
  <c r="Y37" i="12" s="1"/>
  <c r="Z37" i="12" s="1"/>
  <c r="AA37" i="12" s="1"/>
  <c r="AB37" i="12" s="1"/>
  <c r="AC37" i="12" s="1"/>
  <c r="AD37" i="12" s="1"/>
  <c r="AE37" i="12" s="1"/>
  <c r="AF37" i="12" s="1"/>
  <c r="AG37" i="12" s="1"/>
  <c r="AH37" i="12" s="1"/>
  <c r="AI37" i="12" s="1"/>
  <c r="AJ37" i="12" s="1"/>
  <c r="AK37" i="12" s="1"/>
  <c r="AL37" i="12" s="1"/>
  <c r="AM37" i="12" s="1"/>
  <c r="AN37" i="12" s="1"/>
  <c r="AO37" i="12" s="1"/>
  <c r="AP37" i="12" s="1"/>
  <c r="AQ37" i="12" s="1"/>
  <c r="AR37" i="12" s="1"/>
  <c r="AS37" i="12" s="1"/>
  <c r="Y23" i="6"/>
  <c r="AG31" i="6"/>
  <c r="AJ34" i="6"/>
  <c r="AD28" i="6"/>
  <c r="AH32" i="6"/>
  <c r="AB26" i="6"/>
  <c r="AI33" i="6"/>
  <c r="AE29" i="6"/>
  <c r="AF30" i="6"/>
  <c r="T18" i="6"/>
  <c r="AK35" i="6"/>
  <c r="B35" i="12" s="1"/>
  <c r="AC27" i="6"/>
  <c r="AA25" i="6"/>
  <c r="V20" i="6"/>
  <c r="Q3" i="1"/>
  <c r="P3" i="1"/>
  <c r="O3" i="1"/>
  <c r="N3" i="1"/>
  <c r="Z24" i="6"/>
  <c r="X22" i="6"/>
  <c r="W21" i="6"/>
  <c r="U19" i="6"/>
  <c r="C35" i="12" l="1"/>
  <c r="D36" i="12"/>
  <c r="E36" i="12" s="1"/>
  <c r="F36" i="12" s="1"/>
  <c r="G36" i="12" s="1"/>
  <c r="H36" i="12" s="1"/>
  <c r="I36" i="12" s="1"/>
  <c r="J36" i="12" s="1"/>
  <c r="K36" i="12" s="1"/>
  <c r="L36" i="12" s="1"/>
  <c r="M36" i="12" s="1"/>
  <c r="N36" i="12" s="1"/>
  <c r="O36" i="12" s="1"/>
  <c r="P36" i="12" s="1"/>
  <c r="Q36" i="12" s="1"/>
  <c r="R36" i="12" s="1"/>
  <c r="S36" i="12" s="1"/>
  <c r="T36" i="12" s="1"/>
  <c r="U36" i="12" s="1"/>
  <c r="V36" i="12" s="1"/>
  <c r="W36" i="12" s="1"/>
  <c r="X36" i="12" s="1"/>
  <c r="Y36" i="12" s="1"/>
  <c r="Z36" i="12" s="1"/>
  <c r="AA36" i="12" s="1"/>
  <c r="AB36" i="12" s="1"/>
  <c r="AC36" i="12" s="1"/>
  <c r="AD36" i="12" s="1"/>
  <c r="AE36" i="12" s="1"/>
  <c r="AF36" i="12" s="1"/>
  <c r="AG36" i="12" s="1"/>
  <c r="AH36" i="12" s="1"/>
  <c r="AI36" i="12" s="1"/>
  <c r="AJ36" i="12" s="1"/>
  <c r="AK36" i="12" s="1"/>
  <c r="AL36" i="12" s="1"/>
  <c r="AM36" i="12" s="1"/>
  <c r="AN36" i="12" s="1"/>
  <c r="AO36" i="12" s="1"/>
  <c r="AP36" i="12" s="1"/>
  <c r="AQ36" i="12" s="1"/>
  <c r="AR36" i="12" s="1"/>
  <c r="AS36" i="12" s="1"/>
  <c r="AK34" i="6"/>
  <c r="B34" i="12" s="1"/>
  <c r="X21" i="6"/>
  <c r="AA24" i="6"/>
  <c r="AC26" i="6"/>
  <c r="Z23" i="6"/>
  <c r="W20" i="6"/>
  <c r="V19" i="6"/>
  <c r="AB25" i="6"/>
  <c r="AJ33" i="6"/>
  <c r="AF29" i="6"/>
  <c r="AE28" i="6"/>
  <c r="AG30" i="6"/>
  <c r="Y22" i="6"/>
  <c r="AH31" i="6"/>
  <c r="U18" i="6"/>
  <c r="T17" i="6"/>
  <c r="AI32" i="6"/>
  <c r="AD27" i="6"/>
  <c r="C34" i="12" l="1"/>
  <c r="D35" i="12"/>
  <c r="E35" i="12" s="1"/>
  <c r="F35" i="12" s="1"/>
  <c r="G35" i="12" s="1"/>
  <c r="H35" i="12" s="1"/>
  <c r="I35" i="12" s="1"/>
  <c r="J35" i="12" s="1"/>
  <c r="K35" i="12" s="1"/>
  <c r="L35" i="12" s="1"/>
  <c r="M35" i="12" s="1"/>
  <c r="N35" i="12" s="1"/>
  <c r="O35" i="12" s="1"/>
  <c r="P35" i="12" s="1"/>
  <c r="Q35" i="12" s="1"/>
  <c r="R35" i="12" s="1"/>
  <c r="S35" i="12" s="1"/>
  <c r="T35" i="12" s="1"/>
  <c r="U35" i="12" s="1"/>
  <c r="V35" i="12" s="1"/>
  <c r="W35" i="12" s="1"/>
  <c r="X35" i="12" s="1"/>
  <c r="Y35" i="12" s="1"/>
  <c r="Z35" i="12" s="1"/>
  <c r="AA35" i="12" s="1"/>
  <c r="AB35" i="12" s="1"/>
  <c r="AC35" i="12" s="1"/>
  <c r="AD35" i="12" s="1"/>
  <c r="AE35" i="12" s="1"/>
  <c r="AF35" i="12" s="1"/>
  <c r="AG35" i="12" s="1"/>
  <c r="AH35" i="12" s="1"/>
  <c r="AI35" i="12" s="1"/>
  <c r="AJ35" i="12" s="1"/>
  <c r="AK35" i="12" s="1"/>
  <c r="AL35" i="12" s="1"/>
  <c r="AM35" i="12" s="1"/>
  <c r="AN35" i="12" s="1"/>
  <c r="AO35" i="12" s="1"/>
  <c r="AP35" i="12" s="1"/>
  <c r="AQ35" i="12" s="1"/>
  <c r="AR35" i="12" s="1"/>
  <c r="AS35" i="12" s="1"/>
  <c r="AF28" i="6"/>
  <c r="AI31" i="6"/>
  <c r="Y21" i="6"/>
  <c r="T16" i="6"/>
  <c r="Z22" i="6"/>
  <c r="X20" i="6"/>
  <c r="AH30" i="6"/>
  <c r="AE27" i="6"/>
  <c r="AB24" i="6"/>
  <c r="W19" i="6"/>
  <c r="AG29" i="6"/>
  <c r="AC25" i="6"/>
  <c r="AA23" i="6"/>
  <c r="U17" i="6"/>
  <c r="AJ32" i="6"/>
  <c r="AK33" i="6"/>
  <c r="B33" i="12" s="1"/>
  <c r="AD26" i="6"/>
  <c r="V18" i="6"/>
  <c r="C33" i="12" l="1"/>
  <c r="D34" i="12"/>
  <c r="E34" i="12" s="1"/>
  <c r="F34" i="12" s="1"/>
  <c r="G34" i="12" s="1"/>
  <c r="H34" i="12" s="1"/>
  <c r="I34" i="12" s="1"/>
  <c r="J34" i="12" s="1"/>
  <c r="K34" i="12" s="1"/>
  <c r="L34" i="12" s="1"/>
  <c r="M34" i="12" s="1"/>
  <c r="N34" i="12" s="1"/>
  <c r="O34" i="12" s="1"/>
  <c r="P34" i="12" s="1"/>
  <c r="Q34" i="12" s="1"/>
  <c r="R34" i="12" s="1"/>
  <c r="S34" i="12" s="1"/>
  <c r="T34" i="12" s="1"/>
  <c r="U34" i="12" s="1"/>
  <c r="V34" i="12" s="1"/>
  <c r="W34" i="12" s="1"/>
  <c r="X34" i="12" s="1"/>
  <c r="Y34" i="12" s="1"/>
  <c r="Z34" i="12" s="1"/>
  <c r="AA34" i="12" s="1"/>
  <c r="AB34" i="12" s="1"/>
  <c r="AC34" i="12" s="1"/>
  <c r="AD34" i="12" s="1"/>
  <c r="AE34" i="12" s="1"/>
  <c r="AF34" i="12" s="1"/>
  <c r="AG34" i="12" s="1"/>
  <c r="AH34" i="12" s="1"/>
  <c r="AI34" i="12" s="1"/>
  <c r="AJ34" i="12" s="1"/>
  <c r="AK34" i="12" s="1"/>
  <c r="AL34" i="12" s="1"/>
  <c r="AM34" i="12" s="1"/>
  <c r="AN34" i="12" s="1"/>
  <c r="AO34" i="12" s="1"/>
  <c r="AP34" i="12" s="1"/>
  <c r="AQ34" i="12" s="1"/>
  <c r="AR34" i="12" s="1"/>
  <c r="AS34" i="12" s="1"/>
  <c r="V17" i="6"/>
  <c r="AK32" i="6"/>
  <c r="B32" i="12" s="1"/>
  <c r="W18" i="6"/>
  <c r="AA22" i="6"/>
  <c r="AF27" i="6"/>
  <c r="AB23" i="6"/>
  <c r="AH29" i="6"/>
  <c r="T15" i="6"/>
  <c r="AD25" i="6"/>
  <c r="AG28" i="6"/>
  <c r="Z21" i="6"/>
  <c r="AC24" i="6"/>
  <c r="AJ31" i="6"/>
  <c r="U16" i="6"/>
  <c r="AE26" i="6"/>
  <c r="Y20" i="6"/>
  <c r="X19" i="6"/>
  <c r="AI30" i="6"/>
  <c r="C32" i="12" l="1"/>
  <c r="D33" i="12"/>
  <c r="E33" i="12" s="1"/>
  <c r="F33" i="12" s="1"/>
  <c r="G33" i="12" s="1"/>
  <c r="H33" i="12" s="1"/>
  <c r="I33" i="12" s="1"/>
  <c r="J33" i="12" s="1"/>
  <c r="K33" i="12" s="1"/>
  <c r="L33" i="12" s="1"/>
  <c r="M33" i="12" s="1"/>
  <c r="N33" i="12" s="1"/>
  <c r="O33" i="12" s="1"/>
  <c r="P33" i="12" s="1"/>
  <c r="Q33" i="12" s="1"/>
  <c r="R33" i="12" s="1"/>
  <c r="S33" i="12" s="1"/>
  <c r="T33" i="12" s="1"/>
  <c r="U33" i="12" s="1"/>
  <c r="V33" i="12" s="1"/>
  <c r="W33" i="12" s="1"/>
  <c r="X33" i="12" s="1"/>
  <c r="Y33" i="12" s="1"/>
  <c r="Z33" i="12" s="1"/>
  <c r="AA33" i="12" s="1"/>
  <c r="AB33" i="12" s="1"/>
  <c r="AC33" i="12" s="1"/>
  <c r="AD33" i="12" s="1"/>
  <c r="AE33" i="12" s="1"/>
  <c r="AF33" i="12" s="1"/>
  <c r="AG33" i="12" s="1"/>
  <c r="AH33" i="12" s="1"/>
  <c r="AI33" i="12" s="1"/>
  <c r="AJ33" i="12" s="1"/>
  <c r="AK33" i="12" s="1"/>
  <c r="AL33" i="12" s="1"/>
  <c r="AM33" i="12" s="1"/>
  <c r="AN33" i="12" s="1"/>
  <c r="AO33" i="12" s="1"/>
  <c r="AP33" i="12" s="1"/>
  <c r="AQ33" i="12" s="1"/>
  <c r="AR33" i="12" s="1"/>
  <c r="AS33" i="12" s="1"/>
  <c r="AD24" i="6"/>
  <c r="AA21" i="6"/>
  <c r="W17" i="6"/>
  <c r="AB22" i="6"/>
  <c r="AI29" i="6"/>
  <c r="AJ30" i="6"/>
  <c r="T14" i="6"/>
  <c r="AF26" i="6"/>
  <c r="Z20" i="6"/>
  <c r="AE25" i="6"/>
  <c r="Y19" i="6"/>
  <c r="U15" i="6"/>
  <c r="X18" i="6"/>
  <c r="AG27" i="6"/>
  <c r="V16" i="6"/>
  <c r="AC23" i="6"/>
  <c r="AH28" i="6"/>
  <c r="AK31" i="6"/>
  <c r="B31" i="12" s="1"/>
  <c r="C31" i="12" l="1"/>
  <c r="D32" i="12"/>
  <c r="E32" i="12" s="1"/>
  <c r="F32" i="12" s="1"/>
  <c r="G32" i="12" s="1"/>
  <c r="H32" i="12" s="1"/>
  <c r="I32" i="12" s="1"/>
  <c r="J32" i="12" s="1"/>
  <c r="K32" i="12" s="1"/>
  <c r="L32" i="12" s="1"/>
  <c r="M32" i="12" s="1"/>
  <c r="N32" i="12" s="1"/>
  <c r="O32" i="12" s="1"/>
  <c r="P32" i="12" s="1"/>
  <c r="Q32" i="12" s="1"/>
  <c r="R32" i="12" s="1"/>
  <c r="S32" i="12" s="1"/>
  <c r="T32" i="12" s="1"/>
  <c r="U32" i="12" s="1"/>
  <c r="V32" i="12" s="1"/>
  <c r="W32" i="12" s="1"/>
  <c r="X32" i="12" s="1"/>
  <c r="Y32" i="12" s="1"/>
  <c r="Z32" i="12" s="1"/>
  <c r="AA32" i="12" s="1"/>
  <c r="AB32" i="12" s="1"/>
  <c r="AC32" i="12" s="1"/>
  <c r="AD32" i="12" s="1"/>
  <c r="AE32" i="12" s="1"/>
  <c r="AF32" i="12" s="1"/>
  <c r="AG32" i="12" s="1"/>
  <c r="AH32" i="12" s="1"/>
  <c r="AI32" i="12" s="1"/>
  <c r="AJ32" i="12" s="1"/>
  <c r="AK32" i="12" s="1"/>
  <c r="AL32" i="12" s="1"/>
  <c r="AM32" i="12" s="1"/>
  <c r="AN32" i="12" s="1"/>
  <c r="AO32" i="12" s="1"/>
  <c r="AP32" i="12" s="1"/>
  <c r="AQ32" i="12" s="1"/>
  <c r="AR32" i="12" s="1"/>
  <c r="AS32" i="12" s="1"/>
  <c r="Y18" i="6"/>
  <c r="AE24" i="6"/>
  <c r="AC22" i="6"/>
  <c r="AK30" i="6"/>
  <c r="B30" i="12" s="1"/>
  <c r="X17" i="6"/>
  <c r="T13" i="6"/>
  <c r="AD23" i="6"/>
  <c r="AJ29" i="6"/>
  <c r="W16" i="6"/>
  <c r="U14" i="6"/>
  <c r="Z19" i="6"/>
  <c r="AH27" i="6"/>
  <c r="AG26" i="6"/>
  <c r="AF25" i="6"/>
  <c r="V15" i="6"/>
  <c r="AI28" i="6"/>
  <c r="AB21" i="6"/>
  <c r="AA20" i="6"/>
  <c r="C30" i="12" l="1"/>
  <c r="D31" i="12"/>
  <c r="E31" i="12" s="1"/>
  <c r="F31" i="12" s="1"/>
  <c r="G31" i="12" s="1"/>
  <c r="H31" i="12" s="1"/>
  <c r="I31" i="12" s="1"/>
  <c r="J31" i="12" s="1"/>
  <c r="K31" i="12" s="1"/>
  <c r="L31" i="12" s="1"/>
  <c r="M31" i="12" s="1"/>
  <c r="N31" i="12" s="1"/>
  <c r="O31" i="12" s="1"/>
  <c r="P31" i="12" s="1"/>
  <c r="Q31" i="12" s="1"/>
  <c r="R31" i="12" s="1"/>
  <c r="S31" i="12" s="1"/>
  <c r="T31" i="12" s="1"/>
  <c r="U31" i="12" s="1"/>
  <c r="V31" i="12" s="1"/>
  <c r="W31" i="12" s="1"/>
  <c r="X31" i="12" s="1"/>
  <c r="Y31" i="12" s="1"/>
  <c r="Z31" i="12" s="1"/>
  <c r="AA31" i="12" s="1"/>
  <c r="AB31" i="12" s="1"/>
  <c r="AC31" i="12" s="1"/>
  <c r="AD31" i="12" s="1"/>
  <c r="AE31" i="12" s="1"/>
  <c r="AF31" i="12" s="1"/>
  <c r="AG31" i="12" s="1"/>
  <c r="AH31" i="12" s="1"/>
  <c r="AI31" i="12" s="1"/>
  <c r="AJ31" i="12" s="1"/>
  <c r="AK31" i="12" s="1"/>
  <c r="AL31" i="12" s="1"/>
  <c r="AM31" i="12" s="1"/>
  <c r="AN31" i="12" s="1"/>
  <c r="AO31" i="12" s="1"/>
  <c r="AP31" i="12" s="1"/>
  <c r="AQ31" i="12" s="1"/>
  <c r="AR31" i="12" s="1"/>
  <c r="AS31" i="12" s="1"/>
  <c r="V14" i="6"/>
  <c r="AI27" i="6"/>
  <c r="X16" i="6"/>
  <c r="T12" i="6"/>
  <c r="AC21" i="6"/>
  <c r="AE23" i="6"/>
  <c r="AH26" i="6"/>
  <c r="U13" i="6"/>
  <c r="AG25" i="6"/>
  <c r="AA19" i="6"/>
  <c r="W15" i="6"/>
  <c r="Y17" i="6"/>
  <c r="AD22" i="6"/>
  <c r="AK29" i="6"/>
  <c r="B29" i="12" s="1"/>
  <c r="AF24" i="6"/>
  <c r="AB20" i="6"/>
  <c r="Z18" i="6"/>
  <c r="AJ28" i="6"/>
  <c r="C29" i="12" l="1"/>
  <c r="D30" i="12"/>
  <c r="E30" i="12" s="1"/>
  <c r="F30" i="12" s="1"/>
  <c r="G30" i="12" s="1"/>
  <c r="H30" i="12" s="1"/>
  <c r="I30" i="12" s="1"/>
  <c r="J30" i="12" s="1"/>
  <c r="K30" i="12" s="1"/>
  <c r="L30" i="12" s="1"/>
  <c r="M30" i="12" s="1"/>
  <c r="N30" i="12" s="1"/>
  <c r="O30" i="12" s="1"/>
  <c r="P30" i="12" s="1"/>
  <c r="Q30" i="12" s="1"/>
  <c r="R30" i="12" s="1"/>
  <c r="S30" i="12" s="1"/>
  <c r="T30" i="12" s="1"/>
  <c r="U30" i="12" s="1"/>
  <c r="V30" i="12" s="1"/>
  <c r="W30" i="12" s="1"/>
  <c r="X30" i="12" s="1"/>
  <c r="Y30" i="12" s="1"/>
  <c r="Z30" i="12" s="1"/>
  <c r="AA30" i="12" s="1"/>
  <c r="AB30" i="12" s="1"/>
  <c r="AC30" i="12" s="1"/>
  <c r="AD30" i="12" s="1"/>
  <c r="AE30" i="12" s="1"/>
  <c r="AF30" i="12" s="1"/>
  <c r="AG30" i="12" s="1"/>
  <c r="AH30" i="12" s="1"/>
  <c r="AI30" i="12" s="1"/>
  <c r="AJ30" i="12" s="1"/>
  <c r="AK30" i="12" s="1"/>
  <c r="AL30" i="12" s="1"/>
  <c r="AM30" i="12" s="1"/>
  <c r="AN30" i="12" s="1"/>
  <c r="AO30" i="12" s="1"/>
  <c r="AP30" i="12" s="1"/>
  <c r="AQ30" i="12" s="1"/>
  <c r="AR30" i="12" s="1"/>
  <c r="AS30" i="12" s="1"/>
  <c r="AE22" i="6"/>
  <c r="W14" i="6"/>
  <c r="AA18" i="6"/>
  <c r="AH25" i="6"/>
  <c r="Z17" i="6"/>
  <c r="AB19" i="6"/>
  <c r="AD21" i="6"/>
  <c r="Y16" i="6"/>
  <c r="AG24" i="6"/>
  <c r="AC20" i="6"/>
  <c r="V13" i="6"/>
  <c r="X15" i="6"/>
  <c r="T11" i="6"/>
  <c r="AJ27" i="6"/>
  <c r="AI26" i="6"/>
  <c r="AF23" i="6"/>
  <c r="AK28" i="6"/>
  <c r="B28" i="12" s="1"/>
  <c r="U12" i="6"/>
  <c r="C28" i="12" l="1"/>
  <c r="D29" i="12"/>
  <c r="E29" i="12" s="1"/>
  <c r="F29" i="12" s="1"/>
  <c r="G29" i="12" s="1"/>
  <c r="H29" i="12" s="1"/>
  <c r="I29" i="12" s="1"/>
  <c r="J29" i="12" s="1"/>
  <c r="K29" i="12" s="1"/>
  <c r="L29" i="12" s="1"/>
  <c r="M29" i="12" s="1"/>
  <c r="N29" i="12" s="1"/>
  <c r="O29" i="12" s="1"/>
  <c r="P29" i="12" s="1"/>
  <c r="Q29" i="12" s="1"/>
  <c r="R29" i="12" s="1"/>
  <c r="S29" i="12" s="1"/>
  <c r="T29" i="12" s="1"/>
  <c r="U29" i="12" s="1"/>
  <c r="V29" i="12" s="1"/>
  <c r="W29" i="12" s="1"/>
  <c r="X29" i="12" s="1"/>
  <c r="Y29" i="12" s="1"/>
  <c r="Z29" i="12" s="1"/>
  <c r="AA29" i="12" s="1"/>
  <c r="AB29" i="12" s="1"/>
  <c r="AC29" i="12" s="1"/>
  <c r="AD29" i="12" s="1"/>
  <c r="AE29" i="12" s="1"/>
  <c r="AF29" i="12" s="1"/>
  <c r="AG29" i="12" s="1"/>
  <c r="AH29" i="12" s="1"/>
  <c r="AI29" i="12" s="1"/>
  <c r="AJ29" i="12" s="1"/>
  <c r="AK29" i="12" s="1"/>
  <c r="AL29" i="12" s="1"/>
  <c r="AM29" i="12" s="1"/>
  <c r="AN29" i="12" s="1"/>
  <c r="AO29" i="12" s="1"/>
  <c r="AP29" i="12" s="1"/>
  <c r="AQ29" i="12" s="1"/>
  <c r="AR29" i="12" s="1"/>
  <c r="AS29" i="12" s="1"/>
  <c r="AI25" i="6"/>
  <c r="AK27" i="6"/>
  <c r="B27" i="12" s="1"/>
  <c r="AJ26" i="6"/>
  <c r="AD20" i="6"/>
  <c r="Z16" i="6"/>
  <c r="U11" i="6"/>
  <c r="AH24" i="6"/>
  <c r="AF22" i="6"/>
  <c r="AG23" i="6"/>
  <c r="AB18" i="6"/>
  <c r="X14" i="6"/>
  <c r="AE21" i="6"/>
  <c r="AA17" i="6"/>
  <c r="T10" i="6"/>
  <c r="AC19" i="6"/>
  <c r="V12" i="6"/>
  <c r="Y15" i="6"/>
  <c r="W13" i="6"/>
  <c r="C27" i="12" l="1"/>
  <c r="D28" i="12"/>
  <c r="E28" i="12" s="1"/>
  <c r="F28" i="12" s="1"/>
  <c r="G28" i="12" s="1"/>
  <c r="H28" i="12" s="1"/>
  <c r="I28" i="12" s="1"/>
  <c r="J28" i="12" s="1"/>
  <c r="K28" i="12" s="1"/>
  <c r="L28" i="12" s="1"/>
  <c r="M28" i="12" s="1"/>
  <c r="N28" i="12" s="1"/>
  <c r="O28" i="12" s="1"/>
  <c r="P28" i="12" s="1"/>
  <c r="Q28" i="12" s="1"/>
  <c r="R28" i="12" s="1"/>
  <c r="S28" i="12" s="1"/>
  <c r="T28" i="12" s="1"/>
  <c r="U28" i="12" s="1"/>
  <c r="V28" i="12" s="1"/>
  <c r="W28" i="12" s="1"/>
  <c r="X28" i="12" s="1"/>
  <c r="Y28" i="12" s="1"/>
  <c r="Z28" i="12" s="1"/>
  <c r="AA28" i="12" s="1"/>
  <c r="AB28" i="12" s="1"/>
  <c r="AC28" i="12" s="1"/>
  <c r="AD28" i="12" s="1"/>
  <c r="AE28" i="12" s="1"/>
  <c r="AF28" i="12" s="1"/>
  <c r="AG28" i="12" s="1"/>
  <c r="AH28" i="12" s="1"/>
  <c r="AI28" i="12" s="1"/>
  <c r="AJ28" i="12" s="1"/>
  <c r="AK28" i="12" s="1"/>
  <c r="AL28" i="12" s="1"/>
  <c r="AM28" i="12" s="1"/>
  <c r="AN28" i="12" s="1"/>
  <c r="AO28" i="12" s="1"/>
  <c r="AP28" i="12" s="1"/>
  <c r="AQ28" i="12" s="1"/>
  <c r="AR28" i="12" s="1"/>
  <c r="AS28" i="12" s="1"/>
  <c r="X13" i="6"/>
  <c r="AB17" i="6"/>
  <c r="AD19" i="6"/>
  <c r="AJ25" i="6"/>
  <c r="W12" i="6"/>
  <c r="AC18" i="6"/>
  <c r="V11" i="6"/>
  <c r="AG22" i="6"/>
  <c r="AH23" i="6"/>
  <c r="Y14" i="6"/>
  <c r="AA16" i="6"/>
  <c r="AF21" i="6"/>
  <c r="Z15" i="6"/>
  <c r="AI24" i="6"/>
  <c r="T9" i="6"/>
  <c r="AE20" i="6"/>
  <c r="U10" i="6"/>
  <c r="AK26" i="6"/>
  <c r="B26" i="12" s="1"/>
  <c r="C26" i="12" l="1"/>
  <c r="D27" i="12"/>
  <c r="E27" i="12" s="1"/>
  <c r="F27" i="12" s="1"/>
  <c r="G27" i="12" s="1"/>
  <c r="H27" i="12" s="1"/>
  <c r="I27" i="12" s="1"/>
  <c r="J27" i="12" s="1"/>
  <c r="K27" i="12" s="1"/>
  <c r="L27" i="12" s="1"/>
  <c r="M27" i="12" s="1"/>
  <c r="N27" i="12" s="1"/>
  <c r="O27" i="12" s="1"/>
  <c r="P27" i="12" s="1"/>
  <c r="Q27" i="12" s="1"/>
  <c r="R27" i="12" s="1"/>
  <c r="S27" i="12" s="1"/>
  <c r="T27" i="12" s="1"/>
  <c r="U27" i="12" s="1"/>
  <c r="V27" i="12" s="1"/>
  <c r="W27" i="12" s="1"/>
  <c r="X27" i="12" s="1"/>
  <c r="Y27" i="12" s="1"/>
  <c r="Z27" i="12" s="1"/>
  <c r="AA27" i="12" s="1"/>
  <c r="AB27" i="12" s="1"/>
  <c r="AC27" i="12" s="1"/>
  <c r="AD27" i="12" s="1"/>
  <c r="AE27" i="12" s="1"/>
  <c r="AF27" i="12" s="1"/>
  <c r="AG27" i="12" s="1"/>
  <c r="AH27" i="12" s="1"/>
  <c r="AI27" i="12" s="1"/>
  <c r="AJ27" i="12" s="1"/>
  <c r="AK27" i="12" s="1"/>
  <c r="AL27" i="12" s="1"/>
  <c r="AM27" i="12" s="1"/>
  <c r="AN27" i="12" s="1"/>
  <c r="AO27" i="12" s="1"/>
  <c r="AP27" i="12" s="1"/>
  <c r="AQ27" i="12" s="1"/>
  <c r="AR27" i="12" s="1"/>
  <c r="AS27" i="12" s="1"/>
  <c r="AI23" i="6"/>
  <c r="AF20" i="6"/>
  <c r="W11" i="6"/>
  <c r="AB16" i="6"/>
  <c r="U9" i="6"/>
  <c r="T8" i="6"/>
  <c r="V10" i="6"/>
  <c r="Z14" i="6"/>
  <c r="AJ24" i="6"/>
  <c r="AK25" i="6"/>
  <c r="B25" i="12" s="1"/>
  <c r="AA15" i="6"/>
  <c r="AH22" i="6"/>
  <c r="AG21" i="6"/>
  <c r="AC17" i="6"/>
  <c r="X12" i="6"/>
  <c r="AD18" i="6"/>
  <c r="AE19" i="6"/>
  <c r="Y13" i="6"/>
  <c r="C25" i="12" l="1"/>
  <c r="D26" i="12"/>
  <c r="E26" i="12" s="1"/>
  <c r="F26" i="12" s="1"/>
  <c r="G26" i="12" s="1"/>
  <c r="H26" i="12" s="1"/>
  <c r="I26" i="12" s="1"/>
  <c r="J26" i="12" s="1"/>
  <c r="K26" i="12" s="1"/>
  <c r="L26" i="12" s="1"/>
  <c r="M26" i="12" s="1"/>
  <c r="N26" i="12" s="1"/>
  <c r="O26" i="12" s="1"/>
  <c r="P26" i="12" s="1"/>
  <c r="Q26" i="12" s="1"/>
  <c r="R26" i="12" s="1"/>
  <c r="S26" i="12" s="1"/>
  <c r="T26" i="12" s="1"/>
  <c r="U26" i="12" s="1"/>
  <c r="V26" i="12" s="1"/>
  <c r="W26" i="12" s="1"/>
  <c r="X26" i="12" s="1"/>
  <c r="Y26" i="12" s="1"/>
  <c r="Z26" i="12" s="1"/>
  <c r="AA26" i="12" s="1"/>
  <c r="AB26" i="12" s="1"/>
  <c r="AC26" i="12" s="1"/>
  <c r="AD26" i="12" s="1"/>
  <c r="AE26" i="12" s="1"/>
  <c r="AF26" i="12" s="1"/>
  <c r="AG26" i="12" s="1"/>
  <c r="AH26" i="12" s="1"/>
  <c r="AI26" i="12" s="1"/>
  <c r="AJ26" i="12" s="1"/>
  <c r="AK26" i="12" s="1"/>
  <c r="AL26" i="12" s="1"/>
  <c r="AM26" i="12" s="1"/>
  <c r="AN26" i="12" s="1"/>
  <c r="AO26" i="12" s="1"/>
  <c r="AP26" i="12" s="1"/>
  <c r="AQ26" i="12" s="1"/>
  <c r="AR26" i="12" s="1"/>
  <c r="AS26" i="12" s="1"/>
  <c r="X11" i="6"/>
  <c r="AJ23" i="6"/>
  <c r="AA14" i="6"/>
  <c r="Z13" i="6"/>
  <c r="U8" i="6"/>
  <c r="AC16" i="6"/>
  <c r="Y12" i="6"/>
  <c r="AD17" i="6"/>
  <c r="AG20" i="6"/>
  <c r="T7" i="6"/>
  <c r="AB15" i="6"/>
  <c r="AE18" i="6"/>
  <c r="W10" i="6"/>
  <c r="AF19" i="6"/>
  <c r="V9" i="6"/>
  <c r="AK24" i="6"/>
  <c r="B24" i="12" s="1"/>
  <c r="AH21" i="6"/>
  <c r="AI22" i="6"/>
  <c r="C24" i="12" l="1"/>
  <c r="D25" i="12"/>
  <c r="E25" i="12" s="1"/>
  <c r="F25" i="12" s="1"/>
  <c r="G25" i="12" s="1"/>
  <c r="H25" i="12" s="1"/>
  <c r="I25" i="12" s="1"/>
  <c r="J25" i="12" s="1"/>
  <c r="K25" i="12" s="1"/>
  <c r="L25" i="12" s="1"/>
  <c r="M25" i="12" s="1"/>
  <c r="N25" i="12" s="1"/>
  <c r="O25" i="12" s="1"/>
  <c r="P25" i="12" s="1"/>
  <c r="Q25" i="12" s="1"/>
  <c r="R25" i="12" s="1"/>
  <c r="S25" i="12" s="1"/>
  <c r="T25" i="12" s="1"/>
  <c r="U25" i="12" s="1"/>
  <c r="V25" i="12" s="1"/>
  <c r="W25" i="12" s="1"/>
  <c r="X25" i="12" s="1"/>
  <c r="Y25" i="12" s="1"/>
  <c r="Z25" i="12" s="1"/>
  <c r="AA25" i="12" s="1"/>
  <c r="AB25" i="12" s="1"/>
  <c r="AC25" i="12" s="1"/>
  <c r="AD25" i="12" s="1"/>
  <c r="AE25" i="12" s="1"/>
  <c r="AF25" i="12" s="1"/>
  <c r="AG25" i="12" s="1"/>
  <c r="AH25" i="12" s="1"/>
  <c r="AI25" i="12" s="1"/>
  <c r="AJ25" i="12" s="1"/>
  <c r="AK25" i="12" s="1"/>
  <c r="AL25" i="12" s="1"/>
  <c r="AM25" i="12" s="1"/>
  <c r="AN25" i="12" s="1"/>
  <c r="AO25" i="12" s="1"/>
  <c r="AP25" i="12" s="1"/>
  <c r="AQ25" i="12" s="1"/>
  <c r="AR25" i="12" s="1"/>
  <c r="AS25" i="12" s="1"/>
  <c r="AE17" i="6"/>
  <c r="AI21" i="6"/>
  <c r="T6" i="6"/>
  <c r="U7" i="6"/>
  <c r="AA13" i="6"/>
  <c r="AJ22" i="6"/>
  <c r="AC15" i="6"/>
  <c r="AG19" i="6"/>
  <c r="Y11" i="6"/>
  <c r="W9" i="6"/>
  <c r="V8" i="6"/>
  <c r="AF18" i="6"/>
  <c r="AH20" i="6"/>
  <c r="AK23" i="6"/>
  <c r="B23" i="12" s="1"/>
  <c r="X10" i="6"/>
  <c r="AB14" i="6"/>
  <c r="AD16" i="6"/>
  <c r="Z12" i="6"/>
  <c r="C23" i="12" l="1"/>
  <c r="D24" i="12"/>
  <c r="E24" i="12" s="1"/>
  <c r="F24" i="12" s="1"/>
  <c r="G24" i="12" s="1"/>
  <c r="H24" i="12" s="1"/>
  <c r="I24" i="12" s="1"/>
  <c r="J24" i="12" s="1"/>
  <c r="K24" i="12" s="1"/>
  <c r="L24" i="12" s="1"/>
  <c r="M24" i="12" s="1"/>
  <c r="N24" i="12" s="1"/>
  <c r="O24" i="12" s="1"/>
  <c r="P24" i="12" s="1"/>
  <c r="Q24" i="12" s="1"/>
  <c r="R24" i="12" s="1"/>
  <c r="S24" i="12" s="1"/>
  <c r="T24" i="12" s="1"/>
  <c r="U24" i="12" s="1"/>
  <c r="V24" i="12" s="1"/>
  <c r="W24" i="12" s="1"/>
  <c r="X24" i="12" s="1"/>
  <c r="Y24" i="12" s="1"/>
  <c r="Z24" i="12" s="1"/>
  <c r="AA24" i="12" s="1"/>
  <c r="AB24" i="12" s="1"/>
  <c r="AC24" i="12" s="1"/>
  <c r="AD24" i="12" s="1"/>
  <c r="AE24" i="12" s="1"/>
  <c r="AF24" i="12" s="1"/>
  <c r="AG24" i="12" s="1"/>
  <c r="AH24" i="12" s="1"/>
  <c r="AI24" i="12" s="1"/>
  <c r="AJ24" i="12" s="1"/>
  <c r="AK24" i="12" s="1"/>
  <c r="AL24" i="12" s="1"/>
  <c r="AM24" i="12" s="1"/>
  <c r="AN24" i="12" s="1"/>
  <c r="AO24" i="12" s="1"/>
  <c r="AP24" i="12" s="1"/>
  <c r="AQ24" i="12" s="1"/>
  <c r="AR24" i="12" s="1"/>
  <c r="AS24" i="12" s="1"/>
  <c r="AK22" i="6"/>
  <c r="B22" i="12" s="1"/>
  <c r="AF17" i="6"/>
  <c r="W8" i="6"/>
  <c r="AG18" i="6"/>
  <c r="AC14" i="6"/>
  <c r="Z11" i="6"/>
  <c r="X9" i="6"/>
  <c r="AJ21" i="6"/>
  <c r="U6" i="6"/>
  <c r="V7" i="6"/>
  <c r="AD15" i="6"/>
  <c r="T5" i="6"/>
  <c r="AB13" i="6"/>
  <c r="AE16" i="6"/>
  <c r="AH19" i="6"/>
  <c r="Y10" i="6"/>
  <c r="AA12" i="6"/>
  <c r="AI20" i="6"/>
  <c r="C22" i="12" l="1"/>
  <c r="D23" i="12"/>
  <c r="E23" i="12" s="1"/>
  <c r="F23" i="12" s="1"/>
  <c r="G23" i="12" s="1"/>
  <c r="H23" i="12" s="1"/>
  <c r="I23" i="12" s="1"/>
  <c r="J23" i="12" s="1"/>
  <c r="K23" i="12" s="1"/>
  <c r="L23" i="12" s="1"/>
  <c r="M23" i="12" s="1"/>
  <c r="N23" i="12" s="1"/>
  <c r="O23" i="12" s="1"/>
  <c r="P23" i="12" s="1"/>
  <c r="Q23" i="12" s="1"/>
  <c r="R23" i="12" s="1"/>
  <c r="S23" i="12" s="1"/>
  <c r="T23" i="12" s="1"/>
  <c r="U23" i="12" s="1"/>
  <c r="V23" i="12" s="1"/>
  <c r="W23" i="12" s="1"/>
  <c r="X23" i="12" s="1"/>
  <c r="Y23" i="12" s="1"/>
  <c r="Z23" i="12" s="1"/>
  <c r="AA23" i="12" s="1"/>
  <c r="AB23" i="12" s="1"/>
  <c r="AC23" i="12" s="1"/>
  <c r="AD23" i="12" s="1"/>
  <c r="AE23" i="12" s="1"/>
  <c r="AF23" i="12" s="1"/>
  <c r="AG23" i="12" s="1"/>
  <c r="AH23" i="12" s="1"/>
  <c r="AI23" i="12" s="1"/>
  <c r="AJ23" i="12" s="1"/>
  <c r="AK23" i="12" s="1"/>
  <c r="AL23" i="12" s="1"/>
  <c r="AM23" i="12" s="1"/>
  <c r="AN23" i="12" s="1"/>
  <c r="AO23" i="12" s="1"/>
  <c r="AP23" i="12" s="1"/>
  <c r="AQ23" i="12" s="1"/>
  <c r="AR23" i="12" s="1"/>
  <c r="AS23" i="12" s="1"/>
  <c r="AA11" i="6"/>
  <c r="AH18" i="6"/>
  <c r="T4" i="6"/>
  <c r="U5" i="6"/>
  <c r="X8" i="6"/>
  <c r="AF16" i="6"/>
  <c r="AD14" i="6"/>
  <c r="AJ20" i="6"/>
  <c r="Z10" i="6"/>
  <c r="AC13" i="6"/>
  <c r="AK21" i="6"/>
  <c r="B21" i="12" s="1"/>
  <c r="AB12" i="6"/>
  <c r="AG17" i="6"/>
  <c r="AI19" i="6"/>
  <c r="Y9" i="6"/>
  <c r="AE15" i="6"/>
  <c r="V6" i="6"/>
  <c r="W7" i="6"/>
  <c r="C21" i="12" l="1"/>
  <c r="D22" i="12"/>
  <c r="E22" i="12" s="1"/>
  <c r="F22" i="12" s="1"/>
  <c r="G22" i="12" s="1"/>
  <c r="H22" i="12" s="1"/>
  <c r="I22" i="12" s="1"/>
  <c r="J22" i="12" s="1"/>
  <c r="K22" i="12" s="1"/>
  <c r="L22" i="12" s="1"/>
  <c r="M22" i="12" s="1"/>
  <c r="N22" i="12" s="1"/>
  <c r="O22" i="12" s="1"/>
  <c r="P22" i="12" s="1"/>
  <c r="Q22" i="12" s="1"/>
  <c r="R22" i="12" s="1"/>
  <c r="S22" i="12" s="1"/>
  <c r="T22" i="12" s="1"/>
  <c r="U22" i="12" s="1"/>
  <c r="V22" i="12" s="1"/>
  <c r="W22" i="12" s="1"/>
  <c r="X22" i="12" s="1"/>
  <c r="Y22" i="12" s="1"/>
  <c r="Z22" i="12" s="1"/>
  <c r="AA22" i="12" s="1"/>
  <c r="AB22" i="12" s="1"/>
  <c r="AC22" i="12" s="1"/>
  <c r="AD22" i="12" s="1"/>
  <c r="AE22" i="12" s="1"/>
  <c r="AF22" i="12" s="1"/>
  <c r="AG22" i="12" s="1"/>
  <c r="AH22" i="12" s="1"/>
  <c r="AI22" i="12" s="1"/>
  <c r="AJ22" i="12" s="1"/>
  <c r="AK22" i="12" s="1"/>
  <c r="AL22" i="12" s="1"/>
  <c r="AM22" i="12" s="1"/>
  <c r="AN22" i="12" s="1"/>
  <c r="AO22" i="12" s="1"/>
  <c r="AP22" i="12" s="1"/>
  <c r="AQ22" i="12" s="1"/>
  <c r="AR22" i="12" s="1"/>
  <c r="AS22" i="12" s="1"/>
  <c r="X7" i="6"/>
  <c r="AH17" i="6"/>
  <c r="AC12" i="6"/>
  <c r="AB11" i="6"/>
  <c r="Z9" i="6"/>
  <c r="AG16" i="6"/>
  <c r="U4" i="6"/>
  <c r="AJ19" i="6"/>
  <c r="Y8" i="6"/>
  <c r="V5" i="6"/>
  <c r="T3" i="6"/>
  <c r="AA10" i="6"/>
  <c r="W6" i="6"/>
  <c r="AI18" i="6"/>
  <c r="AK20" i="6"/>
  <c r="B20" i="12" s="1"/>
  <c r="AF15" i="6"/>
  <c r="AE14" i="6"/>
  <c r="AD13" i="6"/>
  <c r="C20" i="12" l="1"/>
  <c r="D21" i="12"/>
  <c r="E21" i="12" s="1"/>
  <c r="F21" i="12" s="1"/>
  <c r="G21" i="12" s="1"/>
  <c r="H21" i="12" s="1"/>
  <c r="I21" i="12" s="1"/>
  <c r="J21" i="12" s="1"/>
  <c r="K21" i="12" s="1"/>
  <c r="L21" i="12" s="1"/>
  <c r="M21" i="12" s="1"/>
  <c r="N21" i="12" s="1"/>
  <c r="O21" i="12" s="1"/>
  <c r="P21" i="12" s="1"/>
  <c r="Q21" i="12" s="1"/>
  <c r="R21" i="12" s="1"/>
  <c r="S21" i="12" s="1"/>
  <c r="T21" i="12" s="1"/>
  <c r="U21" i="12" s="1"/>
  <c r="V21" i="12" s="1"/>
  <c r="W21" i="12" s="1"/>
  <c r="X21" i="12" s="1"/>
  <c r="Y21" i="12" s="1"/>
  <c r="Z21" i="12" s="1"/>
  <c r="AA21" i="12" s="1"/>
  <c r="AB21" i="12" s="1"/>
  <c r="AC21" i="12" s="1"/>
  <c r="AD21" i="12" s="1"/>
  <c r="AE21" i="12" s="1"/>
  <c r="AF21" i="12" s="1"/>
  <c r="AG21" i="12" s="1"/>
  <c r="AH21" i="12" s="1"/>
  <c r="AI21" i="12" s="1"/>
  <c r="AJ21" i="12" s="1"/>
  <c r="AK21" i="12" s="1"/>
  <c r="AL21" i="12" s="1"/>
  <c r="AM21" i="12" s="1"/>
  <c r="AN21" i="12" s="1"/>
  <c r="AO21" i="12" s="1"/>
  <c r="AP21" i="12" s="1"/>
  <c r="AQ21" i="12" s="1"/>
  <c r="AR21" i="12" s="1"/>
  <c r="AS21" i="12" s="1"/>
  <c r="AD12" i="6"/>
  <c r="X6" i="6"/>
  <c r="AB10" i="6"/>
  <c r="AC11" i="6"/>
  <c r="AI17" i="6"/>
  <c r="V4" i="6"/>
  <c r="AF14" i="6"/>
  <c r="AE13" i="6"/>
  <c r="AA9" i="6"/>
  <c r="Y7" i="6"/>
  <c r="AG15" i="6"/>
  <c r="AJ18" i="6"/>
  <c r="U3" i="6"/>
  <c r="AH16" i="6"/>
  <c r="AK19" i="6"/>
  <c r="B19" i="12" s="1"/>
  <c r="W5" i="6"/>
  <c r="Z8" i="6"/>
  <c r="C19" i="12" l="1"/>
  <c r="D20" i="12"/>
  <c r="E20" i="12" s="1"/>
  <c r="F20" i="12" s="1"/>
  <c r="G20" i="12" s="1"/>
  <c r="H20" i="12" s="1"/>
  <c r="I20" i="12" s="1"/>
  <c r="J20" i="12" s="1"/>
  <c r="K20" i="12" s="1"/>
  <c r="L20" i="12" s="1"/>
  <c r="M20" i="12" s="1"/>
  <c r="N20" i="12" s="1"/>
  <c r="O20" i="12" s="1"/>
  <c r="P20" i="12" s="1"/>
  <c r="Q20" i="12" s="1"/>
  <c r="R20" i="12" s="1"/>
  <c r="S20" i="12" s="1"/>
  <c r="T20" i="12" s="1"/>
  <c r="U20" i="12" s="1"/>
  <c r="V20" i="12" s="1"/>
  <c r="W20" i="12" s="1"/>
  <c r="X20" i="12" s="1"/>
  <c r="Y20" i="12" s="1"/>
  <c r="Z20" i="12" s="1"/>
  <c r="AA20" i="12" s="1"/>
  <c r="AB20" i="12" s="1"/>
  <c r="AC20" i="12" s="1"/>
  <c r="AD20" i="12" s="1"/>
  <c r="AE20" i="12" s="1"/>
  <c r="AF20" i="12" s="1"/>
  <c r="AG20" i="12" s="1"/>
  <c r="AH20" i="12" s="1"/>
  <c r="AI20" i="12" s="1"/>
  <c r="AJ20" i="12" s="1"/>
  <c r="AK20" i="12" s="1"/>
  <c r="AL20" i="12" s="1"/>
  <c r="AM20" i="12" s="1"/>
  <c r="AN20" i="12" s="1"/>
  <c r="AO20" i="12" s="1"/>
  <c r="AP20" i="12" s="1"/>
  <c r="AQ20" i="12" s="1"/>
  <c r="AR20" i="12" s="1"/>
  <c r="AS20" i="12" s="1"/>
  <c r="AJ17" i="6"/>
  <c r="AF13" i="6"/>
  <c r="X5" i="6"/>
  <c r="AK18" i="6"/>
  <c r="B18" i="12" s="1"/>
  <c r="Y6" i="6"/>
  <c r="AE12" i="6"/>
  <c r="AC10" i="6"/>
  <c r="V3" i="6"/>
  <c r="AI16" i="6"/>
  <c r="AB9" i="6"/>
  <c r="AD11" i="6"/>
  <c r="Z7" i="6"/>
  <c r="W4" i="6"/>
  <c r="AH15" i="6"/>
  <c r="AG14" i="6"/>
  <c r="AA8" i="6"/>
  <c r="C18" i="12" l="1"/>
  <c r="D19" i="12"/>
  <c r="E19" i="12" s="1"/>
  <c r="F19" i="12" s="1"/>
  <c r="G19" i="12" s="1"/>
  <c r="H19" i="12" s="1"/>
  <c r="I19" i="12" s="1"/>
  <c r="J19" i="12" s="1"/>
  <c r="K19" i="12" s="1"/>
  <c r="L19" i="12" s="1"/>
  <c r="M19" i="12" s="1"/>
  <c r="N19" i="12" s="1"/>
  <c r="O19" i="12" s="1"/>
  <c r="P19" i="12" s="1"/>
  <c r="Q19" i="12" s="1"/>
  <c r="R19" i="12" s="1"/>
  <c r="S19" i="12" s="1"/>
  <c r="T19" i="12" s="1"/>
  <c r="U19" i="12" s="1"/>
  <c r="V19" i="12" s="1"/>
  <c r="W19" i="12" s="1"/>
  <c r="X19" i="12" s="1"/>
  <c r="Y19" i="12" s="1"/>
  <c r="Z19" i="12" s="1"/>
  <c r="AA19" i="12" s="1"/>
  <c r="AB19" i="12" s="1"/>
  <c r="AC19" i="12" s="1"/>
  <c r="AD19" i="12" s="1"/>
  <c r="AE19" i="12" s="1"/>
  <c r="AF19" i="12" s="1"/>
  <c r="AG19" i="12" s="1"/>
  <c r="AH19" i="12" s="1"/>
  <c r="AI19" i="12" s="1"/>
  <c r="AJ19" i="12" s="1"/>
  <c r="AK19" i="12" s="1"/>
  <c r="AL19" i="12" s="1"/>
  <c r="AM19" i="12" s="1"/>
  <c r="AN19" i="12" s="1"/>
  <c r="AO19" i="12" s="1"/>
  <c r="AP19" i="12" s="1"/>
  <c r="AQ19" i="12" s="1"/>
  <c r="AR19" i="12" s="1"/>
  <c r="AS19" i="12" s="1"/>
  <c r="AE11" i="6"/>
  <c r="AI15" i="6"/>
  <c r="AH14" i="6"/>
  <c r="Y5" i="6"/>
  <c r="AA7" i="6"/>
  <c r="AF12" i="6"/>
  <c r="AG13" i="6"/>
  <c r="W3" i="6"/>
  <c r="AD10" i="6"/>
  <c r="AC9" i="6"/>
  <c r="X4" i="6"/>
  <c r="AJ16" i="6"/>
  <c r="AK17" i="6"/>
  <c r="B17" i="12" s="1"/>
  <c r="Z6" i="6"/>
  <c r="AB8" i="6"/>
  <c r="C17" i="12" l="1"/>
  <c r="D18" i="12"/>
  <c r="E18" i="12" s="1"/>
  <c r="F18" i="12" s="1"/>
  <c r="G18" i="12" s="1"/>
  <c r="H18" i="12" s="1"/>
  <c r="I18" i="12" s="1"/>
  <c r="J18" i="12" s="1"/>
  <c r="K18" i="12" s="1"/>
  <c r="L18" i="12" s="1"/>
  <c r="M18" i="12" s="1"/>
  <c r="N18" i="12" s="1"/>
  <c r="O18" i="12" s="1"/>
  <c r="P18" i="12" s="1"/>
  <c r="Q18" i="12" s="1"/>
  <c r="R18" i="12" s="1"/>
  <c r="S18" i="12" s="1"/>
  <c r="T18" i="12" s="1"/>
  <c r="U18" i="12" s="1"/>
  <c r="V18" i="12" s="1"/>
  <c r="W18" i="12" s="1"/>
  <c r="X18" i="12" s="1"/>
  <c r="Y18" i="12" s="1"/>
  <c r="Z18" i="12" s="1"/>
  <c r="AA18" i="12" s="1"/>
  <c r="AB18" i="12" s="1"/>
  <c r="AC18" i="12" s="1"/>
  <c r="AD18" i="12" s="1"/>
  <c r="AE18" i="12" s="1"/>
  <c r="AF18" i="12" s="1"/>
  <c r="AG18" i="12" s="1"/>
  <c r="AH18" i="12" s="1"/>
  <c r="AI18" i="12" s="1"/>
  <c r="AJ18" i="12" s="1"/>
  <c r="AK18" i="12" s="1"/>
  <c r="AL18" i="12" s="1"/>
  <c r="AM18" i="12" s="1"/>
  <c r="AN18" i="12" s="1"/>
  <c r="AO18" i="12" s="1"/>
  <c r="AP18" i="12" s="1"/>
  <c r="AQ18" i="12" s="1"/>
  <c r="AR18" i="12" s="1"/>
  <c r="AS18" i="12" s="1"/>
  <c r="AH13" i="6"/>
  <c r="X3" i="6"/>
  <c r="AD9" i="6"/>
  <c r="AF11" i="6"/>
  <c r="Z5" i="6"/>
  <c r="AI14" i="6"/>
  <c r="AC8" i="6"/>
  <c r="AJ15" i="6"/>
  <c r="AA6" i="6"/>
  <c r="Y4" i="6"/>
  <c r="AE10" i="6"/>
  <c r="AB7" i="6"/>
  <c r="AK16" i="6"/>
  <c r="B16" i="12" s="1"/>
  <c r="AG12" i="6"/>
  <c r="C16" i="12" l="1"/>
  <c r="D17" i="12"/>
  <c r="E17" i="12" s="1"/>
  <c r="F17" i="12" s="1"/>
  <c r="G17" i="12" s="1"/>
  <c r="H17" i="12" s="1"/>
  <c r="I17" i="12" s="1"/>
  <c r="J17" i="12" s="1"/>
  <c r="K17" i="12" s="1"/>
  <c r="L17" i="12" s="1"/>
  <c r="M17" i="12" s="1"/>
  <c r="N17" i="12" s="1"/>
  <c r="O17" i="12" s="1"/>
  <c r="P17" i="12" s="1"/>
  <c r="Q17" i="12" s="1"/>
  <c r="R17" i="12" s="1"/>
  <c r="S17" i="12" s="1"/>
  <c r="T17" i="12" s="1"/>
  <c r="U17" i="12" s="1"/>
  <c r="V17" i="12" s="1"/>
  <c r="W17" i="12" s="1"/>
  <c r="X17" i="12" s="1"/>
  <c r="Y17" i="12" s="1"/>
  <c r="Z17" i="12" s="1"/>
  <c r="AA17" i="12" s="1"/>
  <c r="AB17" i="12" s="1"/>
  <c r="AC17" i="12" s="1"/>
  <c r="AD17" i="12" s="1"/>
  <c r="AE17" i="12" s="1"/>
  <c r="AF17" i="12" s="1"/>
  <c r="AG17" i="12" s="1"/>
  <c r="AH17" i="12" s="1"/>
  <c r="AI17" i="12" s="1"/>
  <c r="AJ17" i="12" s="1"/>
  <c r="AK17" i="12" s="1"/>
  <c r="AL17" i="12" s="1"/>
  <c r="AM17" i="12" s="1"/>
  <c r="AN17" i="12" s="1"/>
  <c r="AO17" i="12" s="1"/>
  <c r="AP17" i="12" s="1"/>
  <c r="AQ17" i="12" s="1"/>
  <c r="AR17" i="12" s="1"/>
  <c r="AS17" i="12" s="1"/>
  <c r="AH12" i="6"/>
  <c r="Z4" i="6"/>
  <c r="AD8" i="6"/>
  <c r="AJ14" i="6"/>
  <c r="AG11" i="6"/>
  <c r="AB6" i="6"/>
  <c r="AI13" i="6"/>
  <c r="Y3" i="6"/>
  <c r="AK15" i="6"/>
  <c r="B15" i="12" s="1"/>
  <c r="AE9" i="6"/>
  <c r="AA5" i="6"/>
  <c r="AC7" i="6"/>
  <c r="AF10" i="6"/>
  <c r="C15" i="12" l="1"/>
  <c r="D16" i="12"/>
  <c r="E16" i="12" s="1"/>
  <c r="F16" i="12" s="1"/>
  <c r="G16" i="12" s="1"/>
  <c r="H16" i="12" s="1"/>
  <c r="I16" i="12" s="1"/>
  <c r="J16" i="12" s="1"/>
  <c r="K16" i="12" s="1"/>
  <c r="L16" i="12" s="1"/>
  <c r="M16" i="12" s="1"/>
  <c r="N16" i="12" s="1"/>
  <c r="O16" i="12" s="1"/>
  <c r="P16" i="12" s="1"/>
  <c r="Q16" i="12" s="1"/>
  <c r="R16" i="12" s="1"/>
  <c r="S16" i="12" s="1"/>
  <c r="T16" i="12" s="1"/>
  <c r="U16" i="12" s="1"/>
  <c r="V16" i="12" s="1"/>
  <c r="W16" i="12" s="1"/>
  <c r="X16" i="12" s="1"/>
  <c r="Y16" i="12" s="1"/>
  <c r="Z16" i="12" s="1"/>
  <c r="AA16" i="12" s="1"/>
  <c r="AB16" i="12" s="1"/>
  <c r="AC16" i="12" s="1"/>
  <c r="AD16" i="12" s="1"/>
  <c r="AE16" i="12" s="1"/>
  <c r="AF16" i="12" s="1"/>
  <c r="AG16" i="12" s="1"/>
  <c r="AH16" i="12" s="1"/>
  <c r="AI16" i="12" s="1"/>
  <c r="AJ16" i="12" s="1"/>
  <c r="AK16" i="12" s="1"/>
  <c r="AL16" i="12" s="1"/>
  <c r="AM16" i="12" s="1"/>
  <c r="AN16" i="12" s="1"/>
  <c r="AO16" i="12" s="1"/>
  <c r="AP16" i="12" s="1"/>
  <c r="AQ16" i="12" s="1"/>
  <c r="AR16" i="12" s="1"/>
  <c r="AS16" i="12" s="1"/>
  <c r="AC6" i="6"/>
  <c r="AK14" i="6"/>
  <c r="B14" i="12" s="1"/>
  <c r="AF9" i="6"/>
  <c r="AJ13" i="6"/>
  <c r="AH11" i="6"/>
  <c r="AB5" i="6"/>
  <c r="Z3" i="6"/>
  <c r="AA4" i="6"/>
  <c r="AG10" i="6"/>
  <c r="AI12" i="6"/>
  <c r="AE8" i="6"/>
  <c r="AD7" i="6"/>
  <c r="C14" i="12" l="1"/>
  <c r="D15" i="12"/>
  <c r="E15" i="12" s="1"/>
  <c r="F15" i="12" s="1"/>
  <c r="G15" i="12" s="1"/>
  <c r="H15" i="12" s="1"/>
  <c r="I15" i="12" s="1"/>
  <c r="J15" i="12" s="1"/>
  <c r="K15" i="12" s="1"/>
  <c r="L15" i="12" s="1"/>
  <c r="M15" i="12" s="1"/>
  <c r="N15" i="12" s="1"/>
  <c r="O15" i="12" s="1"/>
  <c r="P15" i="12" s="1"/>
  <c r="Q15" i="12" s="1"/>
  <c r="R15" i="12" s="1"/>
  <c r="S15" i="12" s="1"/>
  <c r="T15" i="12" s="1"/>
  <c r="U15" i="12" s="1"/>
  <c r="V15" i="12" s="1"/>
  <c r="W15" i="12" s="1"/>
  <c r="X15" i="12" s="1"/>
  <c r="Y15" i="12" s="1"/>
  <c r="Z15" i="12" s="1"/>
  <c r="AA15" i="12" s="1"/>
  <c r="AB15" i="12" s="1"/>
  <c r="AC15" i="12" s="1"/>
  <c r="AD15" i="12" s="1"/>
  <c r="AE15" i="12" s="1"/>
  <c r="AF15" i="12" s="1"/>
  <c r="AG15" i="12" s="1"/>
  <c r="AH15" i="12" s="1"/>
  <c r="AI15" i="12" s="1"/>
  <c r="AJ15" i="12" s="1"/>
  <c r="AK15" i="12" s="1"/>
  <c r="AL15" i="12" s="1"/>
  <c r="AM15" i="12" s="1"/>
  <c r="AN15" i="12" s="1"/>
  <c r="AO15" i="12" s="1"/>
  <c r="AP15" i="12" s="1"/>
  <c r="AQ15" i="12" s="1"/>
  <c r="AR15" i="12" s="1"/>
  <c r="AS15" i="12" s="1"/>
  <c r="AF8" i="6"/>
  <c r="AK13" i="6"/>
  <c r="B13" i="12" s="1"/>
  <c r="AI11" i="6"/>
  <c r="AJ12" i="6"/>
  <c r="AD6" i="6"/>
  <c r="AC5" i="6"/>
  <c r="AE7" i="6"/>
  <c r="AG9" i="6"/>
  <c r="AA3" i="6"/>
  <c r="AB4" i="6"/>
  <c r="AH10" i="6"/>
  <c r="C13" i="12" l="1"/>
  <c r="D14" i="12"/>
  <c r="E14" i="12" s="1"/>
  <c r="F14" i="12" s="1"/>
  <c r="G14" i="12" s="1"/>
  <c r="H14" i="12" s="1"/>
  <c r="I14" i="12" s="1"/>
  <c r="J14" i="12" s="1"/>
  <c r="K14" i="12" s="1"/>
  <c r="L14" i="12" s="1"/>
  <c r="M14" i="12" s="1"/>
  <c r="N14" i="12" s="1"/>
  <c r="O14" i="12" s="1"/>
  <c r="P14" i="12" s="1"/>
  <c r="Q14" i="12" s="1"/>
  <c r="R14" i="12" s="1"/>
  <c r="S14" i="12" s="1"/>
  <c r="T14" i="12" s="1"/>
  <c r="U14" i="12" s="1"/>
  <c r="V14" i="12" s="1"/>
  <c r="W14" i="12" s="1"/>
  <c r="X14" i="12" s="1"/>
  <c r="Y14" i="12" s="1"/>
  <c r="Z14" i="12" s="1"/>
  <c r="AA14" i="12" s="1"/>
  <c r="AB14" i="12" s="1"/>
  <c r="AC14" i="12" s="1"/>
  <c r="AD14" i="12" s="1"/>
  <c r="AE14" i="12" s="1"/>
  <c r="AF14" i="12" s="1"/>
  <c r="AG14" i="12" s="1"/>
  <c r="AH14" i="12" s="1"/>
  <c r="AI14" i="12" s="1"/>
  <c r="AJ14" i="12" s="1"/>
  <c r="AK14" i="12" s="1"/>
  <c r="AL14" i="12" s="1"/>
  <c r="AM14" i="12" s="1"/>
  <c r="AN14" i="12" s="1"/>
  <c r="AO14" i="12" s="1"/>
  <c r="AP14" i="12" s="1"/>
  <c r="AQ14" i="12" s="1"/>
  <c r="AR14" i="12" s="1"/>
  <c r="AS14" i="12" s="1"/>
  <c r="AH9" i="6"/>
  <c r="AG8" i="6"/>
  <c r="AK12" i="6"/>
  <c r="B12" i="12" s="1"/>
  <c r="AD5" i="6"/>
  <c r="AI10" i="6"/>
  <c r="AC4" i="6"/>
  <c r="AF7" i="6"/>
  <c r="AB3" i="6"/>
  <c r="AE6" i="6"/>
  <c r="AJ11" i="6"/>
  <c r="C12" i="12" l="1"/>
  <c r="D13" i="12"/>
  <c r="E13" i="12" s="1"/>
  <c r="F13" i="12" s="1"/>
  <c r="G13" i="12" s="1"/>
  <c r="H13" i="12" s="1"/>
  <c r="I13" i="12" s="1"/>
  <c r="J13" i="12" s="1"/>
  <c r="K13" i="12" s="1"/>
  <c r="L13" i="12" s="1"/>
  <c r="M13" i="12" s="1"/>
  <c r="N13" i="12" s="1"/>
  <c r="O13" i="12" s="1"/>
  <c r="P13" i="12" s="1"/>
  <c r="Q13" i="12" s="1"/>
  <c r="R13" i="12" s="1"/>
  <c r="S13" i="12" s="1"/>
  <c r="T13" i="12" s="1"/>
  <c r="U13" i="12" s="1"/>
  <c r="V13" i="12" s="1"/>
  <c r="W13" i="12" s="1"/>
  <c r="X13" i="12" s="1"/>
  <c r="Y13" i="12" s="1"/>
  <c r="Z13" i="12" s="1"/>
  <c r="AA13" i="12" s="1"/>
  <c r="AB13" i="12" s="1"/>
  <c r="AC13" i="12" s="1"/>
  <c r="AD13" i="12" s="1"/>
  <c r="AE13" i="12" s="1"/>
  <c r="AF13" i="12" s="1"/>
  <c r="AG13" i="12" s="1"/>
  <c r="AH13" i="12" s="1"/>
  <c r="AI13" i="12" s="1"/>
  <c r="AJ13" i="12" s="1"/>
  <c r="AK13" i="12" s="1"/>
  <c r="AL13" i="12" s="1"/>
  <c r="AM13" i="12" s="1"/>
  <c r="AN13" i="12" s="1"/>
  <c r="AO13" i="12" s="1"/>
  <c r="AP13" i="12" s="1"/>
  <c r="AQ13" i="12" s="1"/>
  <c r="AR13" i="12" s="1"/>
  <c r="AS13" i="12" s="1"/>
  <c r="AD4" i="6"/>
  <c r="AG7" i="6"/>
  <c r="AK11" i="6"/>
  <c r="B11" i="12" s="1"/>
  <c r="AH8" i="6"/>
  <c r="AE5" i="6"/>
  <c r="AC3" i="6"/>
  <c r="AI9" i="6"/>
  <c r="AJ10" i="6"/>
  <c r="AF6" i="6"/>
  <c r="C11" i="12" l="1"/>
  <c r="D12" i="12"/>
  <c r="E12" i="12" s="1"/>
  <c r="F12" i="12" s="1"/>
  <c r="G12" i="12" s="1"/>
  <c r="H12" i="12" s="1"/>
  <c r="I12" i="12" s="1"/>
  <c r="J12" i="12" s="1"/>
  <c r="K12" i="12" s="1"/>
  <c r="L12" i="12" s="1"/>
  <c r="M12" i="12" s="1"/>
  <c r="N12" i="12" s="1"/>
  <c r="O12" i="12" s="1"/>
  <c r="P12" i="12" s="1"/>
  <c r="Q12" i="12" s="1"/>
  <c r="R12" i="12" s="1"/>
  <c r="S12" i="12" s="1"/>
  <c r="T12" i="12" s="1"/>
  <c r="U12" i="12" s="1"/>
  <c r="V12" i="12" s="1"/>
  <c r="W12" i="12" s="1"/>
  <c r="X12" i="12" s="1"/>
  <c r="Y12" i="12" s="1"/>
  <c r="Z12" i="12" s="1"/>
  <c r="AA12" i="12" s="1"/>
  <c r="AB12" i="12" s="1"/>
  <c r="AC12" i="12" s="1"/>
  <c r="AD12" i="12" s="1"/>
  <c r="AE12" i="12" s="1"/>
  <c r="AF12" i="12" s="1"/>
  <c r="AG12" i="12" s="1"/>
  <c r="AH12" i="12" s="1"/>
  <c r="AI12" i="12" s="1"/>
  <c r="AJ12" i="12" s="1"/>
  <c r="AK12" i="12" s="1"/>
  <c r="AL12" i="12" s="1"/>
  <c r="AM12" i="12" s="1"/>
  <c r="AN12" i="12" s="1"/>
  <c r="AO12" i="12" s="1"/>
  <c r="AP12" i="12" s="1"/>
  <c r="AQ12" i="12" s="1"/>
  <c r="AR12" i="12" s="1"/>
  <c r="AS12" i="12" s="1"/>
  <c r="AH7" i="6"/>
  <c r="AG6" i="6"/>
  <c r="AJ9" i="6"/>
  <c r="AD3" i="6"/>
  <c r="AI8" i="6"/>
  <c r="AE4" i="6"/>
  <c r="AF5" i="6"/>
  <c r="AK10" i="6"/>
  <c r="B10" i="12" s="1"/>
  <c r="C10" i="12" l="1"/>
  <c r="D11" i="12"/>
  <c r="E11" i="12" s="1"/>
  <c r="F11" i="12" s="1"/>
  <c r="G11" i="12" s="1"/>
  <c r="H11" i="12" s="1"/>
  <c r="I11" i="12" s="1"/>
  <c r="J11" i="12" s="1"/>
  <c r="K11" i="12" s="1"/>
  <c r="L11" i="12" s="1"/>
  <c r="M11" i="12" s="1"/>
  <c r="N11" i="12" s="1"/>
  <c r="O11" i="12" s="1"/>
  <c r="P11" i="12" s="1"/>
  <c r="Q11" i="12" s="1"/>
  <c r="R11" i="12" s="1"/>
  <c r="S11" i="12" s="1"/>
  <c r="T11" i="12" s="1"/>
  <c r="U11" i="12" s="1"/>
  <c r="V11" i="12" s="1"/>
  <c r="W11" i="12" s="1"/>
  <c r="X11" i="12" s="1"/>
  <c r="Y11" i="12" s="1"/>
  <c r="Z11" i="12" s="1"/>
  <c r="AA11" i="12" s="1"/>
  <c r="AB11" i="12" s="1"/>
  <c r="AC11" i="12" s="1"/>
  <c r="AD11" i="12" s="1"/>
  <c r="AE11" i="12" s="1"/>
  <c r="AF11" i="12" s="1"/>
  <c r="AG11" i="12" s="1"/>
  <c r="AH11" i="12" s="1"/>
  <c r="AI11" i="12" s="1"/>
  <c r="AJ11" i="12" s="1"/>
  <c r="AK11" i="12" s="1"/>
  <c r="AL11" i="12" s="1"/>
  <c r="AM11" i="12" s="1"/>
  <c r="AN11" i="12" s="1"/>
  <c r="AO11" i="12" s="1"/>
  <c r="AP11" i="12" s="1"/>
  <c r="AQ11" i="12" s="1"/>
  <c r="AR11" i="12" s="1"/>
  <c r="AS11" i="12" s="1"/>
  <c r="AF4" i="6"/>
  <c r="AJ8" i="6"/>
  <c r="AG5" i="6"/>
  <c r="AI7" i="6"/>
  <c r="AH6" i="6"/>
  <c r="AK9" i="6"/>
  <c r="B9" i="12" s="1"/>
  <c r="AE3" i="6"/>
  <c r="C9" i="12" l="1"/>
  <c r="D10" i="12"/>
  <c r="E10" i="12" s="1"/>
  <c r="F10" i="12" s="1"/>
  <c r="G10" i="12" s="1"/>
  <c r="H10" i="12" s="1"/>
  <c r="I10" i="12" s="1"/>
  <c r="J10" i="12" s="1"/>
  <c r="K10" i="12" s="1"/>
  <c r="L10" i="12" s="1"/>
  <c r="M10" i="12" s="1"/>
  <c r="N10" i="12" s="1"/>
  <c r="O10" i="12" s="1"/>
  <c r="P10" i="12" s="1"/>
  <c r="Q10" i="12" s="1"/>
  <c r="R10" i="12" s="1"/>
  <c r="S10" i="12" s="1"/>
  <c r="T10" i="12" s="1"/>
  <c r="U10" i="12" s="1"/>
  <c r="V10" i="12" s="1"/>
  <c r="W10" i="12" s="1"/>
  <c r="X10" i="12" s="1"/>
  <c r="Y10" i="12" s="1"/>
  <c r="Z10" i="12" s="1"/>
  <c r="AA10" i="12" s="1"/>
  <c r="AB10" i="12" s="1"/>
  <c r="AC10" i="12" s="1"/>
  <c r="AD10" i="12" s="1"/>
  <c r="AE10" i="12" s="1"/>
  <c r="AF10" i="12" s="1"/>
  <c r="AG10" i="12" s="1"/>
  <c r="AH10" i="12" s="1"/>
  <c r="AI10" i="12" s="1"/>
  <c r="AJ10" i="12" s="1"/>
  <c r="AK10" i="12" s="1"/>
  <c r="AL10" i="12" s="1"/>
  <c r="AM10" i="12" s="1"/>
  <c r="AN10" i="12" s="1"/>
  <c r="AO10" i="12" s="1"/>
  <c r="AP10" i="12" s="1"/>
  <c r="AQ10" i="12" s="1"/>
  <c r="AR10" i="12" s="1"/>
  <c r="AS10" i="12" s="1"/>
  <c r="AK8" i="6"/>
  <c r="B8" i="12" s="1"/>
  <c r="AH5" i="6"/>
  <c r="AI6" i="6"/>
  <c r="AJ7" i="6"/>
  <c r="AG4" i="6"/>
  <c r="AF3" i="6"/>
  <c r="C8" i="12" l="1"/>
  <c r="D9" i="12"/>
  <c r="E9" i="12" s="1"/>
  <c r="F9" i="12" s="1"/>
  <c r="G9" i="12" s="1"/>
  <c r="H9" i="12" s="1"/>
  <c r="I9" i="12" s="1"/>
  <c r="J9" i="12" s="1"/>
  <c r="K9" i="12" s="1"/>
  <c r="L9" i="12" s="1"/>
  <c r="M9" i="12" s="1"/>
  <c r="N9" i="12" s="1"/>
  <c r="O9" i="12" s="1"/>
  <c r="P9" i="12" s="1"/>
  <c r="Q9" i="12" s="1"/>
  <c r="R9" i="12" s="1"/>
  <c r="S9" i="12" s="1"/>
  <c r="T9" i="12" s="1"/>
  <c r="U9" i="12" s="1"/>
  <c r="V9" i="12" s="1"/>
  <c r="W9" i="12" s="1"/>
  <c r="X9" i="12" s="1"/>
  <c r="Y9" i="12" s="1"/>
  <c r="Z9" i="12" s="1"/>
  <c r="AA9" i="12" s="1"/>
  <c r="AB9" i="12" s="1"/>
  <c r="AC9" i="12" s="1"/>
  <c r="AD9" i="12" s="1"/>
  <c r="AE9" i="12" s="1"/>
  <c r="AF9" i="12" s="1"/>
  <c r="AG9" i="12" s="1"/>
  <c r="AH9" i="12" s="1"/>
  <c r="AI9" i="12" s="1"/>
  <c r="AJ9" i="12" s="1"/>
  <c r="AK9" i="12" s="1"/>
  <c r="AL9" i="12" s="1"/>
  <c r="AM9" i="12" s="1"/>
  <c r="AN9" i="12" s="1"/>
  <c r="AO9" i="12" s="1"/>
  <c r="AP9" i="12" s="1"/>
  <c r="AQ9" i="12" s="1"/>
  <c r="AR9" i="12" s="1"/>
  <c r="AS9" i="12" s="1"/>
  <c r="AG3" i="6"/>
  <c r="AK7" i="6"/>
  <c r="B7" i="12" s="1"/>
  <c r="AH4" i="6"/>
  <c r="AI5" i="6"/>
  <c r="AJ6" i="6"/>
  <c r="C7" i="12" l="1"/>
  <c r="D8" i="12"/>
  <c r="E8" i="12" s="1"/>
  <c r="F8" i="12" s="1"/>
  <c r="G8" i="12" s="1"/>
  <c r="H8" i="12" s="1"/>
  <c r="I8" i="12" s="1"/>
  <c r="J8" i="12" s="1"/>
  <c r="K8" i="12" s="1"/>
  <c r="L8" i="12" s="1"/>
  <c r="M8" i="12" s="1"/>
  <c r="N8" i="12" s="1"/>
  <c r="O8" i="12" s="1"/>
  <c r="P8" i="12" s="1"/>
  <c r="Q8" i="12" s="1"/>
  <c r="R8" i="12" s="1"/>
  <c r="S8" i="12" s="1"/>
  <c r="T8" i="12" s="1"/>
  <c r="U8" i="12" s="1"/>
  <c r="V8" i="12" s="1"/>
  <c r="W8" i="12" s="1"/>
  <c r="X8" i="12" s="1"/>
  <c r="Y8" i="12" s="1"/>
  <c r="Z8" i="12" s="1"/>
  <c r="AA8" i="12" s="1"/>
  <c r="AB8" i="12" s="1"/>
  <c r="AC8" i="12" s="1"/>
  <c r="AD8" i="12" s="1"/>
  <c r="AE8" i="12" s="1"/>
  <c r="AF8" i="12" s="1"/>
  <c r="AG8" i="12" s="1"/>
  <c r="AH8" i="12" s="1"/>
  <c r="AI8" i="12" s="1"/>
  <c r="AJ8" i="12" s="1"/>
  <c r="AK8" i="12" s="1"/>
  <c r="AL8" i="12" s="1"/>
  <c r="AM8" i="12" s="1"/>
  <c r="AN8" i="12" s="1"/>
  <c r="AO8" i="12" s="1"/>
  <c r="AP8" i="12" s="1"/>
  <c r="AQ8" i="12" s="1"/>
  <c r="AR8" i="12" s="1"/>
  <c r="AS8" i="12" s="1"/>
  <c r="AH3" i="6"/>
  <c r="AJ5" i="6"/>
  <c r="AK6" i="6"/>
  <c r="B6" i="12" s="1"/>
  <c r="AI4" i="6"/>
  <c r="C6" i="12" l="1"/>
  <c r="D7" i="12"/>
  <c r="E7" i="12" s="1"/>
  <c r="F7" i="12" s="1"/>
  <c r="G7" i="12" s="1"/>
  <c r="H7" i="12" s="1"/>
  <c r="I7" i="12" s="1"/>
  <c r="J7" i="12" s="1"/>
  <c r="K7" i="12" s="1"/>
  <c r="L7" i="12" s="1"/>
  <c r="M7" i="12" s="1"/>
  <c r="N7" i="12" s="1"/>
  <c r="O7" i="12" s="1"/>
  <c r="P7" i="12" s="1"/>
  <c r="Q7" i="12" s="1"/>
  <c r="R7" i="12" s="1"/>
  <c r="S7" i="12" s="1"/>
  <c r="T7" i="12" s="1"/>
  <c r="U7" i="12" s="1"/>
  <c r="V7" i="12" s="1"/>
  <c r="W7" i="12" s="1"/>
  <c r="X7" i="12" s="1"/>
  <c r="Y7" i="12" s="1"/>
  <c r="Z7" i="12" s="1"/>
  <c r="AA7" i="12" s="1"/>
  <c r="AB7" i="12" s="1"/>
  <c r="AC7" i="12" s="1"/>
  <c r="AD7" i="12" s="1"/>
  <c r="AE7" i="12" s="1"/>
  <c r="AF7" i="12" s="1"/>
  <c r="AG7" i="12" s="1"/>
  <c r="AH7" i="12" s="1"/>
  <c r="AI7" i="12" s="1"/>
  <c r="AJ7" i="12" s="1"/>
  <c r="AK7" i="12" s="1"/>
  <c r="AL7" i="12" s="1"/>
  <c r="AM7" i="12" s="1"/>
  <c r="AN7" i="12" s="1"/>
  <c r="AO7" i="12" s="1"/>
  <c r="AP7" i="12" s="1"/>
  <c r="AQ7" i="12" s="1"/>
  <c r="AR7" i="12" s="1"/>
  <c r="AS7" i="12" s="1"/>
  <c r="AI3" i="6"/>
  <c r="AJ4" i="6"/>
  <c r="AK5" i="6"/>
  <c r="B5" i="12" s="1"/>
  <c r="C5" i="12" l="1"/>
  <c r="D6" i="12"/>
  <c r="E6" i="12" s="1"/>
  <c r="F6" i="12" s="1"/>
  <c r="G6" i="12" s="1"/>
  <c r="H6" i="12" s="1"/>
  <c r="I6" i="12" s="1"/>
  <c r="J6" i="12" s="1"/>
  <c r="K6" i="12" s="1"/>
  <c r="L6" i="12" s="1"/>
  <c r="M6" i="12" s="1"/>
  <c r="N6" i="12" s="1"/>
  <c r="O6" i="12" s="1"/>
  <c r="P6" i="12" s="1"/>
  <c r="Q6" i="12" s="1"/>
  <c r="R6" i="12" s="1"/>
  <c r="S6" i="12" s="1"/>
  <c r="T6" i="12" s="1"/>
  <c r="U6" i="12" s="1"/>
  <c r="V6" i="12" s="1"/>
  <c r="W6" i="12" s="1"/>
  <c r="X6" i="12" s="1"/>
  <c r="Y6" i="12" s="1"/>
  <c r="Z6" i="12" s="1"/>
  <c r="AA6" i="12" s="1"/>
  <c r="AB6" i="12" s="1"/>
  <c r="AC6" i="12" s="1"/>
  <c r="AD6" i="12" s="1"/>
  <c r="AE6" i="12" s="1"/>
  <c r="AF6" i="12" s="1"/>
  <c r="AG6" i="12" s="1"/>
  <c r="AH6" i="12" s="1"/>
  <c r="AI6" i="12" s="1"/>
  <c r="AJ6" i="12" s="1"/>
  <c r="AK6" i="12" s="1"/>
  <c r="AL6" i="12" s="1"/>
  <c r="AM6" i="12" s="1"/>
  <c r="AN6" i="12" s="1"/>
  <c r="AO6" i="12" s="1"/>
  <c r="AP6" i="12" s="1"/>
  <c r="AQ6" i="12" s="1"/>
  <c r="AR6" i="12" s="1"/>
  <c r="AS6" i="12" s="1"/>
  <c r="AK4" i="6"/>
  <c r="B4" i="12" s="1"/>
  <c r="AJ3" i="6"/>
  <c r="C4" i="12" l="1"/>
  <c r="D5" i="12"/>
  <c r="E5" i="12" s="1"/>
  <c r="F5" i="12" s="1"/>
  <c r="G5" i="12" s="1"/>
  <c r="H5" i="12" s="1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AG5" i="12" s="1"/>
  <c r="AH5" i="12" s="1"/>
  <c r="AI5" i="12" s="1"/>
  <c r="AJ5" i="12" s="1"/>
  <c r="AK5" i="12" s="1"/>
  <c r="AL5" i="12" s="1"/>
  <c r="AM5" i="12" s="1"/>
  <c r="AN5" i="12" s="1"/>
  <c r="AO5" i="12" s="1"/>
  <c r="AP5" i="12" s="1"/>
  <c r="AQ5" i="12" s="1"/>
  <c r="AR5" i="12" s="1"/>
  <c r="AS5" i="12" s="1"/>
  <c r="AK3" i="6"/>
  <c r="B3" i="12" s="1"/>
  <c r="C3" i="12" l="1"/>
  <c r="D4" i="12"/>
  <c r="E4" i="12" s="1"/>
  <c r="F4" i="12" s="1"/>
  <c r="G4" i="12" s="1"/>
  <c r="H4" i="12" s="1"/>
  <c r="I4" i="12" s="1"/>
  <c r="J4" i="12" s="1"/>
  <c r="K4" i="12" s="1"/>
  <c r="L4" i="12" s="1"/>
  <c r="M4" i="12" s="1"/>
  <c r="N4" i="12" s="1"/>
  <c r="O4" i="12" s="1"/>
  <c r="P4" i="12" s="1"/>
  <c r="Q4" i="12" s="1"/>
  <c r="R4" i="12" s="1"/>
  <c r="S4" i="12" s="1"/>
  <c r="T4" i="12" s="1"/>
  <c r="U4" i="12" s="1"/>
  <c r="V4" i="12" s="1"/>
  <c r="W4" i="12" s="1"/>
  <c r="X4" i="12" s="1"/>
  <c r="Y4" i="12" s="1"/>
  <c r="Z4" i="12" s="1"/>
  <c r="AA4" i="12" s="1"/>
  <c r="AB4" i="12" s="1"/>
  <c r="AC4" i="12" s="1"/>
  <c r="AD4" i="12" s="1"/>
  <c r="AE4" i="12" s="1"/>
  <c r="AF4" i="12" s="1"/>
  <c r="AG4" i="12" s="1"/>
  <c r="AH4" i="12" s="1"/>
  <c r="AI4" i="12" s="1"/>
  <c r="AJ4" i="12" s="1"/>
  <c r="AK4" i="12" s="1"/>
  <c r="AL4" i="12" s="1"/>
  <c r="AM4" i="12" s="1"/>
  <c r="AN4" i="12" s="1"/>
  <c r="AO4" i="12" s="1"/>
  <c r="AP4" i="12" s="1"/>
  <c r="AQ4" i="12" s="1"/>
  <c r="AR4" i="12" s="1"/>
  <c r="AS4" i="12" s="1"/>
  <c r="D3" i="12" l="1"/>
  <c r="E3" i="12" s="1"/>
  <c r="F3" i="12" s="1"/>
  <c r="G3" i="12" s="1"/>
  <c r="H3" i="12" s="1"/>
  <c r="I3" i="12" s="1"/>
  <c r="J3" i="12" s="1"/>
  <c r="K3" i="12" s="1"/>
  <c r="L3" i="12" s="1"/>
  <c r="M3" i="12" s="1"/>
  <c r="N3" i="12" s="1"/>
  <c r="O3" i="12" s="1"/>
  <c r="P3" i="12" s="1"/>
  <c r="Q3" i="12" s="1"/>
  <c r="R3" i="12" s="1"/>
  <c r="S3" i="12" s="1"/>
  <c r="T3" i="12" s="1"/>
  <c r="U3" i="12" s="1"/>
  <c r="V3" i="12" s="1"/>
  <c r="W3" i="12" s="1"/>
  <c r="X3" i="12" s="1"/>
  <c r="Y3" i="12" s="1"/>
  <c r="Z3" i="12" s="1"/>
  <c r="AA3" i="12" s="1"/>
  <c r="AB3" i="12" s="1"/>
  <c r="AC3" i="12" s="1"/>
  <c r="AD3" i="12" s="1"/>
  <c r="AE3" i="12" s="1"/>
  <c r="AF3" i="12" s="1"/>
  <c r="AG3" i="12" s="1"/>
  <c r="AH3" i="12" s="1"/>
  <c r="AI3" i="12" s="1"/>
  <c r="AJ3" i="12" s="1"/>
  <c r="AK3" i="12" s="1"/>
  <c r="AL3" i="12" s="1"/>
  <c r="AM3" i="12" s="1"/>
  <c r="AN3" i="12" s="1"/>
  <c r="AO3" i="12" s="1"/>
  <c r="AP3" i="12" s="1"/>
  <c r="AQ3" i="12" s="1"/>
  <c r="AR3" i="12" s="1"/>
  <c r="AS3" i="12" s="1"/>
</calcChain>
</file>

<file path=xl/sharedStrings.xml><?xml version="1.0" encoding="utf-8"?>
<sst xmlns="http://schemas.openxmlformats.org/spreadsheetml/2006/main" count="831" uniqueCount="448">
  <si>
    <t>YEAR</t>
  </si>
  <si>
    <t>QTR</t>
  </si>
  <si>
    <t>PIL971</t>
  </si>
  <si>
    <t>PIL972</t>
  </si>
  <si>
    <t>PIL973</t>
  </si>
  <si>
    <t>PIL974</t>
  </si>
  <si>
    <t>PIL981</t>
  </si>
  <si>
    <t>PIL982</t>
  </si>
  <si>
    <t>PIL983</t>
  </si>
  <si>
    <t>PIL984</t>
  </si>
  <si>
    <t>PIL991</t>
  </si>
  <si>
    <t>PIL992</t>
  </si>
  <si>
    <t>PIL993</t>
  </si>
  <si>
    <t>PIL994</t>
  </si>
  <si>
    <t>PIL001</t>
  </si>
  <si>
    <t>PIL002</t>
  </si>
  <si>
    <t>PIL003</t>
  </si>
  <si>
    <t>PIL004</t>
  </si>
  <si>
    <t>PIL011</t>
  </si>
  <si>
    <t>PIL012</t>
  </si>
  <si>
    <t>PIL013</t>
  </si>
  <si>
    <t>PIL014</t>
  </si>
  <si>
    <t>PIL021</t>
  </si>
  <si>
    <t>PIL022</t>
  </si>
  <si>
    <t>PIL023</t>
  </si>
  <si>
    <t>PIL024</t>
  </si>
  <si>
    <t>DATE</t>
  </si>
  <si>
    <t>V882</t>
  </si>
  <si>
    <t>V883</t>
  </si>
  <si>
    <t>V884</t>
  </si>
  <si>
    <t>V891</t>
  </si>
  <si>
    <t>V892</t>
  </si>
  <si>
    <t>V893</t>
  </si>
  <si>
    <t>V894</t>
  </si>
  <si>
    <t>V901</t>
  </si>
  <si>
    <t>V902</t>
  </si>
  <si>
    <t>V903</t>
  </si>
  <si>
    <t>V904</t>
  </si>
  <si>
    <t>V911</t>
  </si>
  <si>
    <t>V912</t>
  </si>
  <si>
    <t>V913</t>
  </si>
  <si>
    <t>V914</t>
  </si>
  <si>
    <t>V921</t>
  </si>
  <si>
    <t>V922</t>
  </si>
  <si>
    <t>V923</t>
  </si>
  <si>
    <t>V924</t>
  </si>
  <si>
    <t>V931</t>
  </si>
  <si>
    <t>V932</t>
  </si>
  <si>
    <t>V933</t>
  </si>
  <si>
    <t>V934</t>
  </si>
  <si>
    <t>V941</t>
  </si>
  <si>
    <t>V942</t>
  </si>
  <si>
    <t>V943</t>
  </si>
  <si>
    <t>V944</t>
  </si>
  <si>
    <t>V951</t>
  </si>
  <si>
    <t>V952</t>
  </si>
  <si>
    <t>V953</t>
  </si>
  <si>
    <t>V954</t>
  </si>
  <si>
    <t>V961</t>
  </si>
  <si>
    <t>V962</t>
  </si>
  <si>
    <t>V963</t>
  </si>
  <si>
    <t>V964</t>
  </si>
  <si>
    <t>V971</t>
  </si>
  <si>
    <t>V972</t>
  </si>
  <si>
    <t>V973</t>
  </si>
  <si>
    <t>V974</t>
  </si>
  <si>
    <t>V981</t>
  </si>
  <si>
    <t>V982</t>
  </si>
  <si>
    <t>V983</t>
  </si>
  <si>
    <t>sec79</t>
  </si>
  <si>
    <t>sec95</t>
  </si>
  <si>
    <t>base</t>
  </si>
  <si>
    <t>mln euro</t>
  </si>
  <si>
    <t>mld lire</t>
  </si>
  <si>
    <t>d1980</t>
  </si>
  <si>
    <t>d1985</t>
  </si>
  <si>
    <t>d1990</t>
  </si>
  <si>
    <t>d1995</t>
  </si>
  <si>
    <t>d1995e</t>
  </si>
  <si>
    <t>PIL031</t>
  </si>
  <si>
    <t>PIL032</t>
  </si>
  <si>
    <t>PIL033</t>
  </si>
  <si>
    <t>PIL034</t>
  </si>
  <si>
    <t>PIL041</t>
  </si>
  <si>
    <t>PIL042</t>
  </si>
  <si>
    <t>PIL043</t>
  </si>
  <si>
    <t>PIL044</t>
  </si>
  <si>
    <t>PIL052</t>
  </si>
  <si>
    <t>PIL053</t>
  </si>
  <si>
    <t>PIL051</t>
  </si>
  <si>
    <t>GDP054</t>
  </si>
  <si>
    <t>GDP061</t>
  </si>
  <si>
    <t>GDP062</t>
  </si>
  <si>
    <t>VINTAGE</t>
  </si>
  <si>
    <t>GDP063</t>
  </si>
  <si>
    <t>GDP064</t>
  </si>
  <si>
    <t>GDP072</t>
  </si>
  <si>
    <t>GDP073</t>
  </si>
  <si>
    <t>GDP074</t>
  </si>
  <si>
    <t>GDP071</t>
  </si>
  <si>
    <t>GDP081</t>
  </si>
  <si>
    <t>GDP082</t>
  </si>
  <si>
    <t>GDP083</t>
  </si>
  <si>
    <t>GDP084</t>
  </si>
  <si>
    <t>GDP091</t>
  </si>
  <si>
    <t>GDP092</t>
  </si>
  <si>
    <t>GDP093</t>
  </si>
  <si>
    <t>GDP094</t>
  </si>
  <si>
    <t>GDP101</t>
  </si>
  <si>
    <t>GDP102</t>
  </si>
  <si>
    <t>GDP103</t>
  </si>
  <si>
    <t>GDP104</t>
  </si>
  <si>
    <t>GDP111</t>
  </si>
  <si>
    <t>GDP112</t>
  </si>
  <si>
    <t>GDP113</t>
  </si>
  <si>
    <t>GDP114</t>
  </si>
  <si>
    <t>GDP121</t>
  </si>
  <si>
    <t>GDP122</t>
  </si>
  <si>
    <t>GDP123</t>
  </si>
  <si>
    <t>GDP124</t>
  </si>
  <si>
    <t>GDP131</t>
  </si>
  <si>
    <t>GDP141</t>
  </si>
  <si>
    <t>GDP142</t>
  </si>
  <si>
    <t>ci_2015</t>
  </si>
  <si>
    <t>ci_2010</t>
  </si>
  <si>
    <t>ci_2000</t>
  </si>
  <si>
    <t>new browser</t>
  </si>
  <si>
    <t xml:space="preserve">Dic-2014  </t>
  </si>
  <si>
    <t xml:space="preserve">Mar-2015  </t>
  </si>
  <si>
    <t xml:space="preserve">Mag-2015  </t>
  </si>
  <si>
    <t xml:space="preserve">Set-2015  </t>
  </si>
  <si>
    <t xml:space="preserve">Dic-2015  </t>
  </si>
  <si>
    <t xml:space="preserve">Mar-2016  </t>
  </si>
  <si>
    <t xml:space="preserve">Mag-2016  </t>
  </si>
  <si>
    <t xml:space="preserve">Set-2016  </t>
  </si>
  <si>
    <t xml:space="preserve">Dic-2016  </t>
  </si>
  <si>
    <t xml:space="preserve">Mar-2017  </t>
  </si>
  <si>
    <t xml:space="preserve">Giu-2017  </t>
  </si>
  <si>
    <t xml:space="preserve">Set-2017  </t>
  </si>
  <si>
    <t xml:space="preserve">Dic-2017  </t>
  </si>
  <si>
    <t xml:space="preserve">Mar-2018  </t>
  </si>
  <si>
    <t xml:space="preserve">Giu-2018  </t>
  </si>
  <si>
    <t xml:space="preserve">Ago-2018  </t>
  </si>
  <si>
    <t xml:space="preserve">Nov-2018  </t>
  </si>
  <si>
    <t xml:space="preserve">Mar-2019  </t>
  </si>
  <si>
    <t xml:space="preserve">Mag-2019  </t>
  </si>
  <si>
    <t xml:space="preserve">Ago-2019  </t>
  </si>
  <si>
    <t xml:space="preserve">Nov-2019  </t>
  </si>
  <si>
    <t xml:space="preserve">Mar-2020  </t>
  </si>
  <si>
    <t xml:space="preserve">Mag-2020  </t>
  </si>
  <si>
    <t xml:space="preserve">Ago-2020  </t>
  </si>
  <si>
    <t xml:space="preserve">Dic-2020  </t>
  </si>
  <si>
    <t xml:space="preserve">Mar-2021  </t>
  </si>
  <si>
    <t xml:space="preserve">Giu-2021  </t>
  </si>
  <si>
    <t xml:space="preserve">Ago-2021  </t>
  </si>
  <si>
    <t xml:space="preserve">Nov-2021  </t>
  </si>
  <si>
    <t xml:space="preserve">Mar-2022  </t>
  </si>
  <si>
    <t xml:space="preserve">Mag-2022  </t>
  </si>
  <si>
    <t xml:space="preserve">Set-2022  </t>
  </si>
  <si>
    <t xml:space="preserve">Nov-2022  </t>
  </si>
  <si>
    <t xml:space="preserve">Mar-2023  </t>
  </si>
  <si>
    <t xml:space="preserve">Mag-2023  </t>
  </si>
  <si>
    <t xml:space="preserve">Set-2023  </t>
  </si>
  <si>
    <t xml:space="preserve">Dic-2023  </t>
  </si>
  <si>
    <t xml:space="preserve">Mar-2024  </t>
  </si>
  <si>
    <t xml:space="preserve">Mag-2024  </t>
  </si>
  <si>
    <t xml:space="preserve">Set-2024  </t>
  </si>
  <si>
    <t xml:space="preserve">Dic-2024  </t>
  </si>
  <si>
    <t xml:space="preserve">Mar-2025  </t>
  </si>
  <si>
    <t xml:space="preserve">Mag-2025  </t>
  </si>
  <si>
    <t xml:space="preserve">Ago-2025  </t>
  </si>
  <si>
    <t xml:space="preserve">1996-Q1  </t>
  </si>
  <si>
    <t xml:space="preserve">1996-Q2  </t>
  </si>
  <si>
    <t xml:space="preserve">1996-Q3  </t>
  </si>
  <si>
    <t xml:space="preserve">1996-Q4  </t>
  </si>
  <si>
    <t xml:space="preserve">1997-Q1  </t>
  </si>
  <si>
    <t xml:space="preserve">1997-Q2  </t>
  </si>
  <si>
    <t xml:space="preserve">1997-Q3  </t>
  </si>
  <si>
    <t xml:space="preserve">1997-Q4  </t>
  </si>
  <si>
    <t xml:space="preserve">1998-Q1  </t>
  </si>
  <si>
    <t xml:space="preserve">1998-Q2  </t>
  </si>
  <si>
    <t xml:space="preserve">1998-Q3  </t>
  </si>
  <si>
    <t xml:space="preserve">1998-Q4  </t>
  </si>
  <si>
    <t xml:space="preserve">1999-Q1  </t>
  </si>
  <si>
    <t xml:space="preserve">1999-Q2  </t>
  </si>
  <si>
    <t xml:space="preserve">1999-Q3  </t>
  </si>
  <si>
    <t xml:space="preserve">1999-Q4  </t>
  </si>
  <si>
    <t xml:space="preserve">2000-Q1  </t>
  </si>
  <si>
    <t xml:space="preserve">2000-Q2  </t>
  </si>
  <si>
    <t xml:space="preserve">2000-Q3  </t>
  </si>
  <si>
    <t xml:space="preserve">2000-Q4  </t>
  </si>
  <si>
    <t xml:space="preserve">2001-Q1  </t>
  </si>
  <si>
    <t xml:space="preserve">2001-Q2  </t>
  </si>
  <si>
    <t xml:space="preserve">2001-Q3  </t>
  </si>
  <si>
    <t xml:space="preserve">2001-Q4  </t>
  </si>
  <si>
    <t xml:space="preserve">2002-Q1  </t>
  </si>
  <si>
    <t xml:space="preserve">2002-Q2  </t>
  </si>
  <si>
    <t xml:space="preserve">2002-Q3  </t>
  </si>
  <si>
    <t xml:space="preserve">2002-Q4  </t>
  </si>
  <si>
    <t xml:space="preserve">2003-Q1  </t>
  </si>
  <si>
    <t xml:space="preserve">2003-Q2  </t>
  </si>
  <si>
    <t xml:space="preserve">2003-Q3  </t>
  </si>
  <si>
    <t xml:space="preserve">2003-Q4  </t>
  </si>
  <si>
    <t xml:space="preserve">2004-Q1  </t>
  </si>
  <si>
    <t xml:space="preserve">2004-Q2  </t>
  </si>
  <si>
    <t xml:space="preserve">2004-Q3  </t>
  </si>
  <si>
    <t xml:space="preserve">2004-Q4  </t>
  </si>
  <si>
    <t xml:space="preserve">2005-Q1  </t>
  </si>
  <si>
    <t xml:space="preserve">2005-Q2  </t>
  </si>
  <si>
    <t xml:space="preserve">2005-Q3  </t>
  </si>
  <si>
    <t xml:space="preserve">2005-Q4  </t>
  </si>
  <si>
    <t xml:space="preserve">2006-Q1  </t>
  </si>
  <si>
    <t xml:space="preserve">2006-Q2  </t>
  </si>
  <si>
    <t xml:space="preserve">2006-Q3  </t>
  </si>
  <si>
    <t xml:space="preserve">2006-Q4  </t>
  </si>
  <si>
    <t xml:space="preserve">2007-Q1  </t>
  </si>
  <si>
    <t xml:space="preserve">2007-Q2  </t>
  </si>
  <si>
    <t xml:space="preserve">2007-Q3  </t>
  </si>
  <si>
    <t xml:space="preserve">2007-Q4  </t>
  </si>
  <si>
    <t xml:space="preserve">2008-Q1  </t>
  </si>
  <si>
    <t xml:space="preserve">2008-Q2  </t>
  </si>
  <si>
    <t xml:space="preserve">2008-Q3  </t>
  </si>
  <si>
    <t xml:space="preserve">2008-Q4  </t>
  </si>
  <si>
    <t xml:space="preserve">2009-Q1  </t>
  </si>
  <si>
    <t xml:space="preserve">2009-Q2  </t>
  </si>
  <si>
    <t xml:space="preserve">2009-Q3  </t>
  </si>
  <si>
    <t xml:space="preserve">2009-Q4  </t>
  </si>
  <si>
    <t xml:space="preserve">2010-Q1  </t>
  </si>
  <si>
    <t xml:space="preserve">2010-Q2  </t>
  </si>
  <si>
    <t xml:space="preserve">2010-Q3  </t>
  </si>
  <si>
    <t xml:space="preserve">2010-Q4  </t>
  </si>
  <si>
    <t xml:space="preserve">2011-Q1  </t>
  </si>
  <si>
    <t xml:space="preserve">2011-Q2  </t>
  </si>
  <si>
    <t xml:space="preserve">2011-Q3  </t>
  </si>
  <si>
    <t xml:space="preserve">2011-Q4  </t>
  </si>
  <si>
    <t xml:space="preserve">2012-Q1  </t>
  </si>
  <si>
    <t xml:space="preserve">2012-Q2  </t>
  </si>
  <si>
    <t xml:space="preserve">2012-Q3  </t>
  </si>
  <si>
    <t xml:space="preserve">2012-Q4  </t>
  </si>
  <si>
    <t xml:space="preserve">2013-Q1  </t>
  </si>
  <si>
    <t xml:space="preserve">2013-Q2  </t>
  </si>
  <si>
    <t xml:space="preserve">2013-Q3  </t>
  </si>
  <si>
    <t xml:space="preserve">2013-Q4  </t>
  </si>
  <si>
    <t xml:space="preserve">2014-Q1  </t>
  </si>
  <si>
    <t xml:space="preserve">2014-Q2  </t>
  </si>
  <si>
    <t xml:space="preserve">2014-Q3  </t>
  </si>
  <si>
    <t xml:space="preserve">2014-Q4  </t>
  </si>
  <si>
    <t xml:space="preserve">2015-Q1  </t>
  </si>
  <si>
    <t xml:space="preserve">2015-Q2  </t>
  </si>
  <si>
    <t xml:space="preserve">2015-Q3  </t>
  </si>
  <si>
    <t xml:space="preserve">2015-Q4  </t>
  </si>
  <si>
    <t xml:space="preserve">2016-Q1  </t>
  </si>
  <si>
    <t xml:space="preserve">2016-Q2  </t>
  </si>
  <si>
    <t xml:space="preserve">2016-Q3  </t>
  </si>
  <si>
    <t xml:space="preserve">2016-Q4  </t>
  </si>
  <si>
    <t xml:space="preserve">2017-Q1  </t>
  </si>
  <si>
    <t xml:space="preserve">2017-Q2  </t>
  </si>
  <si>
    <t xml:space="preserve">2017-Q3  </t>
  </si>
  <si>
    <t xml:space="preserve">2017-Q4  </t>
  </si>
  <si>
    <t xml:space="preserve">2018-Q1  </t>
  </si>
  <si>
    <t xml:space="preserve">2018-Q2  </t>
  </si>
  <si>
    <t xml:space="preserve">2018-Q3  </t>
  </si>
  <si>
    <t xml:space="preserve">2018-Q4  </t>
  </si>
  <si>
    <t xml:space="preserve">2019-Q1  </t>
  </si>
  <si>
    <t xml:space="preserve">2019-Q2  </t>
  </si>
  <si>
    <t xml:space="preserve">2019-Q3  </t>
  </si>
  <si>
    <t xml:space="preserve">2019-Q4  </t>
  </si>
  <si>
    <t xml:space="preserve">2020-Q1  </t>
  </si>
  <si>
    <t xml:space="preserve">2020-Q2  </t>
  </si>
  <si>
    <t xml:space="preserve">2020-Q3  </t>
  </si>
  <si>
    <t xml:space="preserve">2020-Q4  </t>
  </si>
  <si>
    <t xml:space="preserve">2021-Q1  </t>
  </si>
  <si>
    <t xml:space="preserve">2021-Q2  </t>
  </si>
  <si>
    <t xml:space="preserve">2021-Q3  </t>
  </si>
  <si>
    <t xml:space="preserve">2021-Q4  </t>
  </si>
  <si>
    <t xml:space="preserve">2022-Q1  </t>
  </si>
  <si>
    <t xml:space="preserve">2022-Q2  </t>
  </si>
  <si>
    <t xml:space="preserve">2022-Q3  </t>
  </si>
  <si>
    <t xml:space="preserve">2022-Q4  </t>
  </si>
  <si>
    <t xml:space="preserve">2023-Q1  </t>
  </si>
  <si>
    <t xml:space="preserve">2023-Q2  </t>
  </si>
  <si>
    <t xml:space="preserve">2023-Q3  </t>
  </si>
  <si>
    <t xml:space="preserve">2023-Q4  </t>
  </si>
  <si>
    <t xml:space="preserve">2024-Q1  </t>
  </si>
  <si>
    <t xml:space="preserve">2024-Q2  </t>
  </si>
  <si>
    <t>2024-Q3</t>
  </si>
  <si>
    <t>2024-Q4</t>
  </si>
  <si>
    <t>ci_2020</t>
  </si>
  <si>
    <t>chainindex</t>
  </si>
  <si>
    <t>units</t>
  </si>
  <si>
    <t>d2000ec</t>
  </si>
  <si>
    <t>d2010ec</t>
  </si>
  <si>
    <t>d2015ec</t>
  </si>
  <si>
    <t>d2020ec</t>
  </si>
  <si>
    <t xml:space="preserve">2025-Q1  </t>
  </si>
  <si>
    <t xml:space="preserve">2025-Q2  </t>
  </si>
  <si>
    <t>2025-Q3</t>
  </si>
  <si>
    <t>2025-Q4</t>
  </si>
  <si>
    <t>Edizione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</si>
  <si>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</si>
  <si>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</si>
  <si>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</si>
  <si>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</si>
  <si>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</si>
  <si>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</si>
  <si>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</si>
  <si>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</si>
  <si>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</si>
  <si>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</si>
  <si>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</si>
  <si>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</si>
  <si>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</si>
  <si>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</si>
  <si>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</si>
  <si>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</si>
  <si>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</si>
  <si>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</si>
  <si>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</si>
  <si>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</si>
  <si>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</si>
  <si>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</si>
  <si>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</si>
  <si>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</si>
  <si>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</si>
  <si>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</si>
  <si>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</si>
  <si>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</si>
  <si>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</si>
  <si>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</si>
  <si>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</si>
  <si>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</si>
  <si>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</si>
  <si>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</si>
  <si>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</si>
  <si>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</si>
  <si>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</si>
  <si>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</si>
  <si>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</si>
  <si>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</si>
  <si>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y41</t>
  </si>
  <si>
    <t>y42</t>
  </si>
  <si>
    <t>y43</t>
  </si>
  <si>
    <t>y44</t>
  </si>
  <si>
    <t>y45</t>
  </si>
  <si>
    <t>y46</t>
  </si>
  <si>
    <t>y47</t>
  </si>
  <si>
    <t>y48</t>
  </si>
  <si>
    <t>y49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</si>
  <si>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</si>
  <si>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</si>
  <si>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</si>
  <si>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</si>
  <si>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</si>
  <si>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</si>
  <si>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</si>
  <si>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</si>
  <si>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</si>
  <si>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</si>
  <si>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</si>
  <si>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</si>
  <si>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</si>
  <si>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</si>
  <si>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y64</t>
  </si>
  <si>
    <t>y65</t>
  </si>
  <si>
    <t>y66</t>
  </si>
  <si>
    <t>y67</t>
  </si>
  <si>
    <t>y68</t>
  </si>
  <si>
    <t>y69</t>
  </si>
  <si>
    <t>y70</t>
  </si>
  <si>
    <t>y71</t>
  </si>
  <si>
    <t>y72</t>
  </si>
  <si>
    <t>y73</t>
  </si>
  <si>
    <t>y74</t>
  </si>
  <si>
    <t>y75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</si>
  <si>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</si>
  <si>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</si>
  <si>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</si>
  <si>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</si>
  <si>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</si>
  <si>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</si>
  <si>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</si>
  <si>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</si>
  <si>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</si>
  <si>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</si>
  <si>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</si>
  <si>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</si>
  <si>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</si>
  <si>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</si>
  <si>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</si>
  <si>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</si>
  <si>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</si>
  <si>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</si>
  <si>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</si>
  <si>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</si>
  <si>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</si>
  <si>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</si>
  <si>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</si>
  <si>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</si>
  <si>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</si>
  <si>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</si>
  <si>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</si>
  <si>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</si>
  <si>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</si>
  <si>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</si>
  <si>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</si>
  <si>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</si>
  <si>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</si>
  <si>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</si>
  <si>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y110</t>
  </si>
  <si>
    <t>y111</t>
  </si>
  <si>
    <t>y112</t>
  </si>
  <si>
    <t>y113</t>
  </si>
  <si>
    <t>y114</t>
  </si>
  <si>
    <t>y115</t>
  </si>
  <si>
    <t>y116</t>
  </si>
  <si>
    <t>y117</t>
  </si>
  <si>
    <t>y118</t>
  </si>
  <si>
    <t>y119</t>
  </si>
  <si>
    <t>y120</t>
  </si>
  <si>
    <t>y121</t>
  </si>
  <si>
    <t>y122</t>
  </si>
  <si>
    <t>y123</t>
  </si>
  <si>
    <t>y124</t>
  </si>
  <si>
    <t>y125</t>
  </si>
  <si>
    <t>y126</t>
  </si>
  <si>
    <t>y127</t>
  </si>
  <si>
    <t>y128</t>
  </si>
  <si>
    <t>y129</t>
  </si>
  <si>
    <t>y130</t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</si>
  <si>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</si>
  <si>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</si>
  <si>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</si>
  <si>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</si>
  <si>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</si>
  <si>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</si>
  <si>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</si>
  <si>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</si>
  <si>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</si>
  <si>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y140</t>
  </si>
  <si>
    <t>y141</t>
  </si>
  <si>
    <t>y142</t>
  </si>
  <si>
    <t>y143</t>
  </si>
  <si>
    <t>y144</t>
  </si>
  <si>
    <t>y145</t>
  </si>
  <si>
    <t>y146</t>
  </si>
  <si>
    <t>y147</t>
  </si>
  <si>
    <t>y148</t>
  </si>
  <si>
    <t>y149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</si>
</sst>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name val="Arial"/>
      <family val="2"/>
    </font>
    <font>
      <sz val="11"/>
      <name val="Times New Roman"/>
      <family val="1"/>
    </font>
    <font>
      <b/>
      <i/>
      <sz val="8"/>
      <name val="Arial"/>
      <family val="2"/>
    </font>
    <font>
      <b/>
      <i/>
      <sz val="8"/>
      <color indexed="10"/>
      <name val="Arial"/>
      <family val="2"/>
    </font>
    <font>
      <sz val="8"/>
      <color indexed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64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8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2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2" fillId="0" borderId="3" xfId="0" applyFont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2" fillId="3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  <xf numFmtId="0" fontId="4" fillId="3" borderId="4" xfId="0" applyFont="1" applyFill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4" borderId="1" xfId="0" applyFont="1" applyFill="1" applyBorder="1" applyAlignment="1">
      <alignment horizontal="right"/>
    </xf>
    <xf numFmtId="0" fontId="4" fillId="4" borderId="0" xfId="0" applyFont="1" applyFill="1" applyAlignment="1">
      <alignment horizontal="right"/>
    </xf>
    <xf numFmtId="0" fontId="4" fillId="4" borderId="4" xfId="0" applyFont="1" applyFill="1" applyBorder="1" applyAlignment="1">
      <alignment horizontal="right"/>
    </xf>
    <xf numFmtId="0" fontId="2" fillId="5" borderId="1" xfId="0" applyFont="1" applyFill="1" applyBorder="1" applyAlignment="1">
      <alignment horizontal="right"/>
    </xf>
    <xf numFmtId="0" fontId="2" fillId="5" borderId="0" xfId="0" applyFont="1" applyFill="1" applyAlignment="1">
      <alignment horizontal="right"/>
    </xf>
    <xf numFmtId="0" fontId="2" fillId="5" borderId="4" xfId="0" applyFont="1" applyFill="1" applyBorder="1" applyAlignment="1">
      <alignment horizontal="right"/>
    </xf>
    <xf numFmtId="0" fontId="2" fillId="6" borderId="1" xfId="0" applyFont="1" applyFill="1" applyBorder="1" applyAlignment="1">
      <alignment horizontal="right"/>
    </xf>
    <xf numFmtId="0" fontId="2" fillId="6" borderId="0" xfId="0" applyFont="1" applyFill="1" applyAlignment="1">
      <alignment horizontal="right"/>
    </xf>
    <xf numFmtId="0" fontId="2" fillId="7" borderId="0" xfId="0" applyFont="1" applyFill="1" applyAlignment="1">
      <alignment horizontal="right"/>
    </xf>
    <xf numFmtId="0" fontId="3" fillId="0" borderId="3" xfId="0" applyFont="1" applyBorder="1" applyAlignment="1">
      <alignment horizontal="right"/>
    </xf>
    <xf numFmtId="0" fontId="2" fillId="7" borderId="4" xfId="0" applyFont="1" applyFill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2" fillId="8" borderId="0" xfId="0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2" borderId="4" xfId="0" applyFont="1" applyFill="1" applyBorder="1" applyAlignment="1">
      <alignment horizontal="right"/>
    </xf>
    <xf numFmtId="0" fontId="3" fillId="9" borderId="0" xfId="0" applyFont="1" applyFill="1" applyAlignment="1">
      <alignment horizontal="right"/>
    </xf>
    <xf numFmtId="0" fontId="3" fillId="0" borderId="0" xfId="0" applyFont="1" applyAlignment="1">
      <alignment horizontal="center" vertical="top" wrapText="1"/>
    </xf>
    <xf numFmtId="164" fontId="3" fillId="2" borderId="0" xfId="0" applyNumberFormat="1" applyFont="1" applyFill="1" applyAlignment="1">
      <alignment horizontal="center"/>
    </xf>
    <xf numFmtId="164" fontId="3" fillId="8" borderId="0" xfId="0" applyNumberFormat="1" applyFont="1" applyFill="1" applyAlignment="1">
      <alignment horizontal="center"/>
    </xf>
    <xf numFmtId="164" fontId="3" fillId="8" borderId="0" xfId="0" applyNumberFormat="1" applyFont="1" applyFill="1" applyAlignment="1">
      <alignment horizontal="right"/>
    </xf>
    <xf numFmtId="164" fontId="8" fillId="0" borderId="0" xfId="0" applyNumberFormat="1" applyFont="1"/>
    <xf numFmtId="164" fontId="2" fillId="0" borderId="0" xfId="0" applyNumberFormat="1" applyFont="1" applyAlignment="1">
      <alignment horizontal="right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164" fontId="8" fillId="0" borderId="0" xfId="2" applyNumberFormat="1" applyFont="1"/>
    <xf numFmtId="164" fontId="2" fillId="0" borderId="0" xfId="2" applyNumberFormat="1" applyFont="1"/>
    <xf numFmtId="164" fontId="2" fillId="0" borderId="0" xfId="1" applyNumberFormat="1" applyFont="1"/>
    <xf numFmtId="0" fontId="8" fillId="0" borderId="0" xfId="0" applyFont="1"/>
    <xf numFmtId="0" fontId="9" fillId="0" borderId="0" xfId="0" applyFont="1"/>
    <xf numFmtId="1" fontId="2" fillId="0" borderId="0" xfId="0" applyNumberFormat="1" applyFont="1"/>
    <xf numFmtId="0" fontId="10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1" fontId="3" fillId="0" borderId="0" xfId="0" applyNumberFormat="1" applyFont="1" applyAlignment="1">
      <alignment horizontal="center"/>
    </xf>
  </cellXfs>
  <cellStyles count="3">
    <cellStyle name="Migliaia" xfId="1" builtinId="3"/>
    <cellStyle name="Normale" xfId="0" builtinId="0"/>
    <cellStyle name="Normale_ChainIndex" xfId="2" xr:uid="{00000000-0005-0000-0000-000002000000}"/>
  </cellStyles>
  <dxfs count="3">
    <dxf>
      <fill>
        <patternFill>
          <bgColor indexed="27"/>
        </patternFill>
      </fill>
    </dxf>
    <dxf>
      <fill>
        <patternFill>
          <bgColor indexed="42"/>
        </patternFill>
      </fill>
    </dxf>
    <dxf>
      <font>
        <condense val="0"/>
        <extend val="0"/>
        <color auto="1"/>
      </font>
      <fill>
        <patternFill patternType="solid">
          <bgColor indexed="1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"/>
  <sheetViews>
    <sheetView workbookViewId="0">
      <pane xSplit="1" ySplit="1" topLeftCell="B140" activePane="bottomRight" state="frozen"/>
      <selection pane="topRight" activeCell="B1" sqref="B1"/>
      <selection pane="bottomLeft" activeCell="A2" sqref="A2"/>
      <selection pane="bottomRight" activeCell="D127" sqref="D127"/>
    </sheetView>
  </sheetViews>
  <sheetFormatPr defaultColWidth="9.21875" defaultRowHeight="10.199999999999999" x14ac:dyDescent="0.2"/>
  <cols>
    <col min="1" max="1" width="9.21875" style="3"/>
    <col min="2" max="2" width="6" style="13" bestFit="1" customWidth="1"/>
    <col min="3" max="3" width="6.77734375" style="13" bestFit="1" customWidth="1"/>
    <col min="4" max="4" width="8.44140625" style="13" bestFit="1" customWidth="1"/>
    <col min="5" max="5" width="9.77734375" style="13" bestFit="1" customWidth="1"/>
    <col min="6" max="6" width="6.21875" style="13" bestFit="1" customWidth="1"/>
    <col min="7" max="7" width="9.21875" style="13"/>
    <col min="8" max="16384" width="9.21875" style="2"/>
  </cols>
  <sheetData>
    <row r="1" spans="1:16" s="1" customFormat="1" ht="20.25" customHeight="1" x14ac:dyDescent="0.25">
      <c r="A1" s="1" t="s">
        <v>93</v>
      </c>
      <c r="B1" s="8" t="s">
        <v>69</v>
      </c>
      <c r="C1" s="8" t="s">
        <v>70</v>
      </c>
      <c r="D1" s="8" t="s">
        <v>288</v>
      </c>
      <c r="E1" s="8" t="s">
        <v>126</v>
      </c>
      <c r="F1" s="8" t="s">
        <v>71</v>
      </c>
      <c r="G1" s="8" t="s">
        <v>289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290</v>
      </c>
      <c r="N1" s="1" t="s">
        <v>291</v>
      </c>
      <c r="O1" s="1" t="s">
        <v>292</v>
      </c>
      <c r="P1" s="1" t="s">
        <v>293</v>
      </c>
    </row>
    <row r="2" spans="1:16" x14ac:dyDescent="0.2">
      <c r="A2" s="3">
        <v>1</v>
      </c>
      <c r="B2" s="9" t="s">
        <v>27</v>
      </c>
      <c r="C2" s="10"/>
      <c r="D2" s="10"/>
      <c r="E2" s="10"/>
      <c r="F2" s="10">
        <v>1980</v>
      </c>
      <c r="G2" s="11" t="s">
        <v>73</v>
      </c>
      <c r="H2" s="2">
        <v>1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</row>
    <row r="3" spans="1:16" x14ac:dyDescent="0.2">
      <c r="A3" s="3">
        <f t="shared" ref="A3:A13" si="0">1+A2</f>
        <v>2</v>
      </c>
      <c r="B3" s="12" t="s">
        <v>28</v>
      </c>
      <c r="F3" s="13">
        <v>1980</v>
      </c>
      <c r="G3" s="14" t="s">
        <v>73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</row>
    <row r="4" spans="1:16" x14ac:dyDescent="0.2">
      <c r="A4" s="3">
        <f t="shared" si="0"/>
        <v>3</v>
      </c>
      <c r="B4" s="12" t="s">
        <v>29</v>
      </c>
      <c r="F4" s="13">
        <v>1980</v>
      </c>
      <c r="G4" s="14" t="s">
        <v>73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</row>
    <row r="5" spans="1:16" x14ac:dyDescent="0.2">
      <c r="A5" s="3">
        <f t="shared" si="0"/>
        <v>4</v>
      </c>
      <c r="B5" s="12" t="s">
        <v>30</v>
      </c>
      <c r="F5" s="13">
        <v>1980</v>
      </c>
      <c r="G5" s="14" t="s">
        <v>73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</row>
    <row r="6" spans="1:16" x14ac:dyDescent="0.2">
      <c r="A6" s="3">
        <f t="shared" si="0"/>
        <v>5</v>
      </c>
      <c r="B6" s="12" t="s">
        <v>31</v>
      </c>
      <c r="F6" s="13">
        <v>1980</v>
      </c>
      <c r="G6" s="14" t="s">
        <v>73</v>
      </c>
      <c r="H6" s="2">
        <v>1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</row>
    <row r="7" spans="1:16" x14ac:dyDescent="0.2">
      <c r="A7" s="3">
        <f t="shared" si="0"/>
        <v>6</v>
      </c>
      <c r="B7" s="12" t="s">
        <v>32</v>
      </c>
      <c r="F7" s="13">
        <v>1980</v>
      </c>
      <c r="G7" s="14" t="s">
        <v>73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</row>
    <row r="8" spans="1:16" x14ac:dyDescent="0.2">
      <c r="A8" s="3">
        <f t="shared" si="0"/>
        <v>7</v>
      </c>
      <c r="B8" s="12" t="s">
        <v>33</v>
      </c>
      <c r="F8" s="13">
        <v>1980</v>
      </c>
      <c r="G8" s="14" t="s">
        <v>73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</row>
    <row r="9" spans="1:16" x14ac:dyDescent="0.2">
      <c r="A9" s="3">
        <f t="shared" si="0"/>
        <v>8</v>
      </c>
      <c r="B9" s="12" t="s">
        <v>34</v>
      </c>
      <c r="F9" s="13">
        <v>1980</v>
      </c>
      <c r="G9" s="14" t="s">
        <v>73</v>
      </c>
      <c r="H9" s="2">
        <v>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</row>
    <row r="10" spans="1:16" x14ac:dyDescent="0.2">
      <c r="A10" s="3">
        <f t="shared" si="0"/>
        <v>9</v>
      </c>
      <c r="B10" s="12" t="s">
        <v>35</v>
      </c>
      <c r="F10" s="13">
        <v>1980</v>
      </c>
      <c r="G10" s="14" t="s">
        <v>73</v>
      </c>
      <c r="H10" s="2">
        <v>1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</row>
    <row r="11" spans="1:16" x14ac:dyDescent="0.2">
      <c r="A11" s="3">
        <f t="shared" si="0"/>
        <v>10</v>
      </c>
      <c r="B11" s="12" t="s">
        <v>36</v>
      </c>
      <c r="F11" s="13">
        <v>1980</v>
      </c>
      <c r="G11" s="14" t="s">
        <v>73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</row>
    <row r="12" spans="1:16" x14ac:dyDescent="0.2">
      <c r="A12" s="3">
        <f t="shared" si="0"/>
        <v>11</v>
      </c>
      <c r="B12" s="15" t="s">
        <v>37</v>
      </c>
      <c r="C12" s="16"/>
      <c r="D12" s="16"/>
      <c r="E12" s="16"/>
      <c r="F12" s="16">
        <v>1980</v>
      </c>
      <c r="G12" s="17" t="s">
        <v>73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</row>
    <row r="13" spans="1:16" x14ac:dyDescent="0.2">
      <c r="A13" s="3">
        <f t="shared" si="0"/>
        <v>12</v>
      </c>
      <c r="B13" s="18" t="s">
        <v>38</v>
      </c>
      <c r="C13" s="10"/>
      <c r="D13" s="10"/>
      <c r="E13" s="10"/>
      <c r="F13" s="19">
        <v>1985</v>
      </c>
      <c r="G13" s="11" t="s">
        <v>73</v>
      </c>
      <c r="H13" s="2">
        <v>0</v>
      </c>
      <c r="I13" s="2">
        <v>1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</row>
    <row r="14" spans="1:16" x14ac:dyDescent="0.2">
      <c r="A14" s="3">
        <f>1+A13</f>
        <v>13</v>
      </c>
      <c r="B14" s="20" t="s">
        <v>39</v>
      </c>
      <c r="F14" s="7">
        <v>1985</v>
      </c>
      <c r="G14" s="14" t="s">
        <v>73</v>
      </c>
      <c r="H14" s="2">
        <v>0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</row>
    <row r="15" spans="1:16" x14ac:dyDescent="0.2">
      <c r="A15" s="3">
        <f t="shared" ref="A15:A78" si="1">1+A14</f>
        <v>14</v>
      </c>
      <c r="B15" s="20" t="s">
        <v>40</v>
      </c>
      <c r="F15" s="7">
        <v>1985</v>
      </c>
      <c r="G15" s="14" t="s">
        <v>73</v>
      </c>
      <c r="H15" s="2">
        <v>0</v>
      </c>
      <c r="I15" s="2">
        <v>1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</row>
    <row r="16" spans="1:16" x14ac:dyDescent="0.2">
      <c r="A16" s="3">
        <f t="shared" si="1"/>
        <v>15</v>
      </c>
      <c r="B16" s="20" t="s">
        <v>41</v>
      </c>
      <c r="F16" s="7">
        <v>1985</v>
      </c>
      <c r="G16" s="14" t="s">
        <v>73</v>
      </c>
      <c r="H16" s="2">
        <v>0</v>
      </c>
      <c r="I16" s="2">
        <v>1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</row>
    <row r="17" spans="1:16" x14ac:dyDescent="0.2">
      <c r="A17" s="3">
        <f t="shared" si="1"/>
        <v>16</v>
      </c>
      <c r="B17" s="20" t="s">
        <v>42</v>
      </c>
      <c r="F17" s="7">
        <v>1985</v>
      </c>
      <c r="G17" s="14" t="s">
        <v>73</v>
      </c>
      <c r="H17" s="2">
        <v>0</v>
      </c>
      <c r="I17" s="2">
        <v>1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</row>
    <row r="18" spans="1:16" x14ac:dyDescent="0.2">
      <c r="A18" s="3">
        <f t="shared" si="1"/>
        <v>17</v>
      </c>
      <c r="B18" s="20" t="s">
        <v>43</v>
      </c>
      <c r="F18" s="7">
        <v>1985</v>
      </c>
      <c r="G18" s="14" t="s">
        <v>73</v>
      </c>
      <c r="H18" s="2">
        <v>0</v>
      </c>
      <c r="I18" s="2">
        <v>1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</row>
    <row r="19" spans="1:16" x14ac:dyDescent="0.2">
      <c r="A19" s="3">
        <f t="shared" si="1"/>
        <v>18</v>
      </c>
      <c r="B19" s="20" t="s">
        <v>44</v>
      </c>
      <c r="F19" s="7">
        <v>1985</v>
      </c>
      <c r="G19" s="14" t="s">
        <v>73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</row>
    <row r="20" spans="1:16" x14ac:dyDescent="0.2">
      <c r="A20" s="3">
        <f t="shared" si="1"/>
        <v>19</v>
      </c>
      <c r="B20" s="20" t="s">
        <v>45</v>
      </c>
      <c r="F20" s="7">
        <v>1985</v>
      </c>
      <c r="G20" s="14" t="s">
        <v>73</v>
      </c>
      <c r="H20" s="2">
        <v>0</v>
      </c>
      <c r="I20" s="2">
        <v>1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</row>
    <row r="21" spans="1:16" x14ac:dyDescent="0.2">
      <c r="A21" s="3">
        <f t="shared" si="1"/>
        <v>20</v>
      </c>
      <c r="B21" s="20" t="s">
        <v>46</v>
      </c>
      <c r="F21" s="7">
        <v>1985</v>
      </c>
      <c r="G21" s="14" t="s">
        <v>73</v>
      </c>
      <c r="H21" s="2">
        <v>0</v>
      </c>
      <c r="I21" s="2">
        <v>1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</row>
    <row r="22" spans="1:16" x14ac:dyDescent="0.2">
      <c r="A22" s="3">
        <f t="shared" si="1"/>
        <v>21</v>
      </c>
      <c r="B22" s="21" t="s">
        <v>47</v>
      </c>
      <c r="F22" s="7">
        <v>1985</v>
      </c>
      <c r="G22" s="14" t="s">
        <v>73</v>
      </c>
      <c r="H22" s="2">
        <v>0</v>
      </c>
      <c r="I22" s="2">
        <v>1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</row>
    <row r="23" spans="1:16" x14ac:dyDescent="0.2">
      <c r="A23" s="3">
        <f t="shared" si="1"/>
        <v>22</v>
      </c>
      <c r="B23" s="21" t="s">
        <v>48</v>
      </c>
      <c r="F23" s="7">
        <v>1985</v>
      </c>
      <c r="G23" s="14" t="s">
        <v>73</v>
      </c>
      <c r="H23" s="2">
        <v>0</v>
      </c>
      <c r="I23" s="2">
        <v>1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</row>
    <row r="24" spans="1:16" x14ac:dyDescent="0.2">
      <c r="A24" s="3">
        <f t="shared" si="1"/>
        <v>23</v>
      </c>
      <c r="B24" s="21" t="s">
        <v>49</v>
      </c>
      <c r="F24" s="7">
        <v>1985</v>
      </c>
      <c r="G24" s="14" t="s">
        <v>73</v>
      </c>
      <c r="H24" s="2">
        <v>0</v>
      </c>
      <c r="I24" s="2">
        <v>1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</row>
    <row r="25" spans="1:16" x14ac:dyDescent="0.2">
      <c r="A25" s="3">
        <f t="shared" si="1"/>
        <v>24</v>
      </c>
      <c r="B25" s="21" t="s">
        <v>50</v>
      </c>
      <c r="F25" s="7">
        <v>1985</v>
      </c>
      <c r="G25" s="14" t="s">
        <v>73</v>
      </c>
      <c r="H25" s="2">
        <v>0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</row>
    <row r="26" spans="1:16" x14ac:dyDescent="0.2">
      <c r="A26" s="3">
        <f t="shared" si="1"/>
        <v>25</v>
      </c>
      <c r="B26" s="21" t="s">
        <v>51</v>
      </c>
      <c r="F26" s="7">
        <v>1985</v>
      </c>
      <c r="G26" s="14" t="s">
        <v>73</v>
      </c>
      <c r="H26" s="2">
        <v>0</v>
      </c>
      <c r="I26" s="2">
        <v>1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</row>
    <row r="27" spans="1:16" x14ac:dyDescent="0.2">
      <c r="A27" s="3">
        <f t="shared" si="1"/>
        <v>26</v>
      </c>
      <c r="B27" s="21" t="s">
        <v>52</v>
      </c>
      <c r="F27" s="7">
        <v>1985</v>
      </c>
      <c r="G27" s="14" t="s">
        <v>73</v>
      </c>
      <c r="H27" s="2">
        <v>0</v>
      </c>
      <c r="I27" s="2">
        <v>1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</row>
    <row r="28" spans="1:16" x14ac:dyDescent="0.2">
      <c r="A28" s="3">
        <f t="shared" si="1"/>
        <v>27</v>
      </c>
      <c r="B28" s="21" t="s">
        <v>53</v>
      </c>
      <c r="F28" s="7">
        <v>1985</v>
      </c>
      <c r="G28" s="14" t="s">
        <v>73</v>
      </c>
      <c r="H28" s="2">
        <v>0</v>
      </c>
      <c r="I28" s="2">
        <v>1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</row>
    <row r="29" spans="1:16" x14ac:dyDescent="0.2">
      <c r="A29" s="3">
        <f t="shared" si="1"/>
        <v>28</v>
      </c>
      <c r="B29" s="21" t="s">
        <v>54</v>
      </c>
      <c r="F29" s="7">
        <v>1985</v>
      </c>
      <c r="G29" s="14" t="s">
        <v>73</v>
      </c>
      <c r="H29" s="2">
        <v>0</v>
      </c>
      <c r="I29" s="2">
        <v>1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</row>
    <row r="30" spans="1:16" x14ac:dyDescent="0.2">
      <c r="A30" s="3">
        <f t="shared" si="1"/>
        <v>29</v>
      </c>
      <c r="B30" s="21" t="s">
        <v>55</v>
      </c>
      <c r="F30" s="7">
        <v>1985</v>
      </c>
      <c r="G30" s="14" t="s">
        <v>73</v>
      </c>
      <c r="H30" s="2">
        <v>0</v>
      </c>
      <c r="I30" s="2">
        <v>1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</row>
    <row r="31" spans="1:16" x14ac:dyDescent="0.2">
      <c r="A31" s="3">
        <f t="shared" si="1"/>
        <v>30</v>
      </c>
      <c r="B31" s="22" t="s">
        <v>56</v>
      </c>
      <c r="C31" s="16"/>
      <c r="D31" s="16"/>
      <c r="E31" s="16"/>
      <c r="F31" s="23">
        <v>1985</v>
      </c>
      <c r="G31" s="17" t="s">
        <v>73</v>
      </c>
      <c r="H31" s="2">
        <v>0</v>
      </c>
      <c r="I31" s="2">
        <v>1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</row>
    <row r="32" spans="1:16" x14ac:dyDescent="0.2">
      <c r="A32" s="3">
        <f t="shared" si="1"/>
        <v>31</v>
      </c>
      <c r="B32" s="24" t="s">
        <v>57</v>
      </c>
      <c r="C32" s="10"/>
      <c r="D32" s="10"/>
      <c r="E32" s="10"/>
      <c r="F32" s="10">
        <v>1990</v>
      </c>
      <c r="G32" s="11" t="s">
        <v>73</v>
      </c>
      <c r="H32" s="2">
        <v>0</v>
      </c>
      <c r="I32" s="2">
        <v>0</v>
      </c>
      <c r="J32" s="2">
        <v>1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</row>
    <row r="33" spans="1:16" x14ac:dyDescent="0.2">
      <c r="A33" s="3">
        <f t="shared" si="1"/>
        <v>32</v>
      </c>
      <c r="B33" s="25" t="s">
        <v>58</v>
      </c>
      <c r="F33" s="13">
        <v>1990</v>
      </c>
      <c r="G33" s="14" t="s">
        <v>73</v>
      </c>
      <c r="H33" s="2">
        <v>0</v>
      </c>
      <c r="I33" s="2">
        <v>0</v>
      </c>
      <c r="J33" s="2">
        <v>1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</row>
    <row r="34" spans="1:16" x14ac:dyDescent="0.2">
      <c r="A34" s="3">
        <f t="shared" si="1"/>
        <v>33</v>
      </c>
      <c r="B34" s="25" t="s">
        <v>59</v>
      </c>
      <c r="F34" s="13">
        <v>1990</v>
      </c>
      <c r="G34" s="14" t="s">
        <v>73</v>
      </c>
      <c r="H34" s="2">
        <v>0</v>
      </c>
      <c r="I34" s="2">
        <v>0</v>
      </c>
      <c r="J34" s="2">
        <v>1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</row>
    <row r="35" spans="1:16" x14ac:dyDescent="0.2">
      <c r="A35" s="3">
        <f t="shared" si="1"/>
        <v>34</v>
      </c>
      <c r="B35" s="25" t="s">
        <v>60</v>
      </c>
      <c r="F35" s="13">
        <v>1990</v>
      </c>
      <c r="G35" s="14" t="s">
        <v>73</v>
      </c>
      <c r="H35" s="2">
        <v>0</v>
      </c>
      <c r="I35" s="2">
        <v>0</v>
      </c>
      <c r="J35" s="2">
        <v>1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</row>
    <row r="36" spans="1:16" x14ac:dyDescent="0.2">
      <c r="A36" s="3">
        <f t="shared" si="1"/>
        <v>35</v>
      </c>
      <c r="B36" s="25" t="s">
        <v>61</v>
      </c>
      <c r="F36" s="13">
        <v>1990</v>
      </c>
      <c r="G36" s="14" t="s">
        <v>73</v>
      </c>
      <c r="H36" s="2">
        <v>0</v>
      </c>
      <c r="I36" s="2">
        <v>0</v>
      </c>
      <c r="J36" s="2">
        <v>1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</row>
    <row r="37" spans="1:16" x14ac:dyDescent="0.2">
      <c r="A37" s="3">
        <f t="shared" si="1"/>
        <v>36</v>
      </c>
      <c r="B37" s="25" t="s">
        <v>62</v>
      </c>
      <c r="C37" s="13" t="s">
        <v>2</v>
      </c>
      <c r="F37" s="13">
        <v>1990</v>
      </c>
      <c r="G37" s="14" t="s">
        <v>73</v>
      </c>
      <c r="H37" s="2">
        <v>0</v>
      </c>
      <c r="I37" s="2">
        <v>0</v>
      </c>
      <c r="J37" s="2">
        <v>1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</row>
    <row r="38" spans="1:16" x14ac:dyDescent="0.2">
      <c r="A38" s="3">
        <f t="shared" si="1"/>
        <v>37</v>
      </c>
      <c r="B38" s="25" t="s">
        <v>63</v>
      </c>
      <c r="C38" s="13" t="s">
        <v>3</v>
      </c>
      <c r="F38" s="13">
        <v>1990</v>
      </c>
      <c r="G38" s="14" t="s">
        <v>73</v>
      </c>
      <c r="H38" s="2">
        <v>0</v>
      </c>
      <c r="I38" s="2">
        <v>0</v>
      </c>
      <c r="J38" s="2">
        <v>1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</row>
    <row r="39" spans="1:16" x14ac:dyDescent="0.2">
      <c r="A39" s="3">
        <f t="shared" si="1"/>
        <v>38</v>
      </c>
      <c r="B39" s="25" t="s">
        <v>64</v>
      </c>
      <c r="C39" s="13" t="s">
        <v>4</v>
      </c>
      <c r="F39" s="13">
        <v>1990</v>
      </c>
      <c r="G39" s="14" t="s">
        <v>73</v>
      </c>
      <c r="H39" s="2">
        <v>0</v>
      </c>
      <c r="I39" s="2">
        <v>0</v>
      </c>
      <c r="J39" s="2">
        <v>1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</row>
    <row r="40" spans="1:16" x14ac:dyDescent="0.2">
      <c r="A40" s="3">
        <f t="shared" si="1"/>
        <v>39</v>
      </c>
      <c r="B40" s="25" t="s">
        <v>65</v>
      </c>
      <c r="C40" s="13" t="s">
        <v>5</v>
      </c>
      <c r="F40" s="13">
        <v>1990</v>
      </c>
      <c r="G40" s="14" t="s">
        <v>73</v>
      </c>
      <c r="H40" s="2">
        <v>0</v>
      </c>
      <c r="I40" s="2">
        <v>0</v>
      </c>
      <c r="J40" s="2">
        <v>1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</row>
    <row r="41" spans="1:16" x14ac:dyDescent="0.2">
      <c r="A41" s="3">
        <f t="shared" si="1"/>
        <v>40</v>
      </c>
      <c r="B41" s="25" t="s">
        <v>66</v>
      </c>
      <c r="C41" s="13" t="s">
        <v>6</v>
      </c>
      <c r="F41" s="13">
        <v>1990</v>
      </c>
      <c r="G41" s="14" t="s">
        <v>73</v>
      </c>
      <c r="H41" s="2">
        <v>0</v>
      </c>
      <c r="I41" s="2">
        <v>0</v>
      </c>
      <c r="J41" s="2">
        <v>1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</row>
    <row r="42" spans="1:16" x14ac:dyDescent="0.2">
      <c r="A42" s="3">
        <f t="shared" si="1"/>
        <v>41</v>
      </c>
      <c r="B42" s="25" t="s">
        <v>67</v>
      </c>
      <c r="C42" s="13" t="s">
        <v>7</v>
      </c>
      <c r="F42" s="13">
        <v>1990</v>
      </c>
      <c r="G42" s="14" t="s">
        <v>73</v>
      </c>
      <c r="H42" s="2">
        <v>0</v>
      </c>
      <c r="I42" s="2">
        <v>0</v>
      </c>
      <c r="J42" s="2">
        <v>1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</row>
    <row r="43" spans="1:16" x14ac:dyDescent="0.2">
      <c r="A43" s="3">
        <f t="shared" si="1"/>
        <v>42</v>
      </c>
      <c r="B43" s="26" t="s">
        <v>68</v>
      </c>
      <c r="C43" s="16" t="s">
        <v>8</v>
      </c>
      <c r="D43" s="16"/>
      <c r="E43" s="16"/>
      <c r="F43" s="16">
        <v>1990</v>
      </c>
      <c r="G43" s="17" t="s">
        <v>73</v>
      </c>
      <c r="H43" s="2">
        <v>0</v>
      </c>
      <c r="I43" s="2">
        <v>0</v>
      </c>
      <c r="J43" s="2">
        <v>1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</row>
    <row r="44" spans="1:16" x14ac:dyDescent="0.2">
      <c r="A44" s="3">
        <f t="shared" si="1"/>
        <v>43</v>
      </c>
      <c r="B44" s="10"/>
      <c r="C44" s="27" t="s">
        <v>9</v>
      </c>
      <c r="D44" s="10"/>
      <c r="E44" s="10"/>
      <c r="F44" s="19">
        <v>1995</v>
      </c>
      <c r="G44" s="11" t="s">
        <v>73</v>
      </c>
      <c r="H44" s="2">
        <v>0</v>
      </c>
      <c r="I44" s="2">
        <v>0</v>
      </c>
      <c r="J44" s="2">
        <v>0</v>
      </c>
      <c r="K44" s="2">
        <v>1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</row>
    <row r="45" spans="1:16" x14ac:dyDescent="0.2">
      <c r="A45" s="3">
        <f t="shared" si="1"/>
        <v>44</v>
      </c>
      <c r="C45" s="28" t="s">
        <v>10</v>
      </c>
      <c r="F45" s="7">
        <v>1995</v>
      </c>
      <c r="G45" s="14" t="s">
        <v>73</v>
      </c>
      <c r="H45" s="2">
        <v>0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</row>
    <row r="46" spans="1:16" x14ac:dyDescent="0.2">
      <c r="A46" s="3">
        <f t="shared" si="1"/>
        <v>45</v>
      </c>
      <c r="C46" s="28" t="s">
        <v>11</v>
      </c>
      <c r="F46" s="7">
        <v>1995</v>
      </c>
      <c r="G46" s="14" t="s">
        <v>73</v>
      </c>
      <c r="H46" s="2">
        <v>0</v>
      </c>
      <c r="I46" s="2">
        <v>0</v>
      </c>
      <c r="J46" s="2">
        <v>0</v>
      </c>
      <c r="K46" s="2">
        <v>1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</row>
    <row r="47" spans="1:16" x14ac:dyDescent="0.2">
      <c r="A47" s="3">
        <f t="shared" si="1"/>
        <v>46</v>
      </c>
      <c r="C47" s="28" t="s">
        <v>12</v>
      </c>
      <c r="F47" s="7">
        <v>1995</v>
      </c>
      <c r="G47" s="14" t="s">
        <v>73</v>
      </c>
      <c r="H47" s="2">
        <v>0</v>
      </c>
      <c r="I47" s="2">
        <v>0</v>
      </c>
      <c r="J47" s="2">
        <v>0</v>
      </c>
      <c r="K47" s="2">
        <v>1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</row>
    <row r="48" spans="1:16" x14ac:dyDescent="0.2">
      <c r="A48" s="3">
        <f t="shared" si="1"/>
        <v>47</v>
      </c>
      <c r="C48" s="28" t="s">
        <v>13</v>
      </c>
      <c r="F48" s="7">
        <v>1995</v>
      </c>
      <c r="G48" s="14" t="s">
        <v>73</v>
      </c>
      <c r="H48" s="2">
        <v>0</v>
      </c>
      <c r="I48" s="2">
        <v>0</v>
      </c>
      <c r="J48" s="2">
        <v>0</v>
      </c>
      <c r="K48" s="2">
        <v>1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</row>
    <row r="49" spans="1:16" x14ac:dyDescent="0.2">
      <c r="A49" s="3">
        <f t="shared" si="1"/>
        <v>48</v>
      </c>
      <c r="C49" s="28" t="s">
        <v>14</v>
      </c>
      <c r="F49" s="7">
        <v>1995</v>
      </c>
      <c r="G49" s="14" t="s">
        <v>73</v>
      </c>
      <c r="H49" s="2">
        <v>0</v>
      </c>
      <c r="I49" s="2">
        <v>0</v>
      </c>
      <c r="J49" s="2">
        <v>0</v>
      </c>
      <c r="K49" s="2">
        <v>1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</row>
    <row r="50" spans="1:16" x14ac:dyDescent="0.2">
      <c r="A50" s="3">
        <f t="shared" si="1"/>
        <v>49</v>
      </c>
      <c r="C50" s="28" t="s">
        <v>15</v>
      </c>
      <c r="F50" s="7">
        <v>1995</v>
      </c>
      <c r="G50" s="14" t="s">
        <v>73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</row>
    <row r="51" spans="1:16" x14ac:dyDescent="0.2">
      <c r="A51" s="3">
        <f t="shared" si="1"/>
        <v>50</v>
      </c>
      <c r="B51" s="16"/>
      <c r="C51" s="29" t="s">
        <v>16</v>
      </c>
      <c r="D51" s="16"/>
      <c r="E51" s="16"/>
      <c r="F51" s="23">
        <v>1995</v>
      </c>
      <c r="G51" s="17" t="s">
        <v>73</v>
      </c>
      <c r="H51" s="2">
        <v>0</v>
      </c>
      <c r="I51" s="2">
        <v>0</v>
      </c>
      <c r="J51" s="2">
        <v>0</v>
      </c>
      <c r="K51" s="2">
        <v>1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</row>
    <row r="52" spans="1:16" x14ac:dyDescent="0.2">
      <c r="A52" s="3">
        <f t="shared" si="1"/>
        <v>51</v>
      </c>
      <c r="B52" s="10"/>
      <c r="C52" s="30" t="s">
        <v>17</v>
      </c>
      <c r="D52" s="10"/>
      <c r="E52" s="10"/>
      <c r="F52" s="19">
        <v>1995</v>
      </c>
      <c r="G52" s="11" t="s">
        <v>73</v>
      </c>
      <c r="H52" s="2">
        <v>0</v>
      </c>
      <c r="I52" s="2">
        <v>0</v>
      </c>
      <c r="J52" s="2">
        <v>0</v>
      </c>
      <c r="K52" s="2">
        <v>1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</row>
    <row r="53" spans="1:16" x14ac:dyDescent="0.2">
      <c r="A53" s="3">
        <f t="shared" si="1"/>
        <v>52</v>
      </c>
      <c r="C53" s="31" t="s">
        <v>18</v>
      </c>
      <c r="F53" s="7">
        <v>1995</v>
      </c>
      <c r="G53" s="14" t="s">
        <v>73</v>
      </c>
      <c r="H53" s="2">
        <v>0</v>
      </c>
      <c r="I53" s="2">
        <v>0</v>
      </c>
      <c r="J53" s="2">
        <v>0</v>
      </c>
      <c r="K53" s="2">
        <v>1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</row>
    <row r="54" spans="1:16" x14ac:dyDescent="0.2">
      <c r="A54" s="3">
        <f t="shared" si="1"/>
        <v>53</v>
      </c>
      <c r="C54" s="31" t="s">
        <v>19</v>
      </c>
      <c r="F54" s="7">
        <v>1995</v>
      </c>
      <c r="G54" s="14" t="s">
        <v>73</v>
      </c>
      <c r="H54" s="2">
        <v>0</v>
      </c>
      <c r="I54" s="2">
        <v>0</v>
      </c>
      <c r="J54" s="2">
        <v>0</v>
      </c>
      <c r="K54" s="2">
        <v>1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</row>
    <row r="55" spans="1:16" x14ac:dyDescent="0.2">
      <c r="A55" s="3">
        <f t="shared" si="1"/>
        <v>54</v>
      </c>
      <c r="C55" s="31" t="s">
        <v>20</v>
      </c>
      <c r="F55" s="7">
        <v>1995</v>
      </c>
      <c r="G55" s="14" t="s">
        <v>73</v>
      </c>
      <c r="H55" s="2">
        <v>0</v>
      </c>
      <c r="I55" s="2">
        <v>0</v>
      </c>
      <c r="J55" s="2">
        <v>0</v>
      </c>
      <c r="K55" s="2">
        <v>1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</row>
    <row r="56" spans="1:16" x14ac:dyDescent="0.2">
      <c r="A56" s="3">
        <f t="shared" si="1"/>
        <v>55</v>
      </c>
      <c r="C56" s="32" t="s">
        <v>21</v>
      </c>
      <c r="F56" s="7">
        <v>1995</v>
      </c>
      <c r="G56" s="33" t="s">
        <v>72</v>
      </c>
      <c r="H56" s="2">
        <v>0</v>
      </c>
      <c r="I56" s="2">
        <v>0</v>
      </c>
      <c r="J56" s="2">
        <v>0</v>
      </c>
      <c r="K56" s="2">
        <v>0</v>
      </c>
      <c r="L56" s="2">
        <v>1</v>
      </c>
      <c r="M56" s="2">
        <v>0</v>
      </c>
      <c r="N56" s="2">
        <v>0</v>
      </c>
      <c r="O56" s="2">
        <v>0</v>
      </c>
      <c r="P56" s="2">
        <v>0</v>
      </c>
    </row>
    <row r="57" spans="1:16" x14ac:dyDescent="0.2">
      <c r="A57" s="3">
        <f t="shared" si="1"/>
        <v>56</v>
      </c>
      <c r="C57" s="32" t="s">
        <v>22</v>
      </c>
      <c r="F57" s="7">
        <v>1995</v>
      </c>
      <c r="G57" s="33" t="s">
        <v>72</v>
      </c>
      <c r="H57" s="2">
        <v>0</v>
      </c>
      <c r="I57" s="2">
        <v>0</v>
      </c>
      <c r="J57" s="2">
        <v>0</v>
      </c>
      <c r="K57" s="2">
        <v>0</v>
      </c>
      <c r="L57" s="2">
        <v>1</v>
      </c>
      <c r="M57" s="2">
        <v>0</v>
      </c>
      <c r="N57" s="2">
        <v>0</v>
      </c>
      <c r="O57" s="2">
        <v>0</v>
      </c>
      <c r="P57" s="2">
        <v>0</v>
      </c>
    </row>
    <row r="58" spans="1:16" x14ac:dyDescent="0.2">
      <c r="A58" s="3">
        <f t="shared" si="1"/>
        <v>57</v>
      </c>
      <c r="C58" s="32" t="s">
        <v>23</v>
      </c>
      <c r="F58" s="7">
        <v>1995</v>
      </c>
      <c r="G58" s="33" t="s">
        <v>72</v>
      </c>
      <c r="H58" s="2">
        <v>0</v>
      </c>
      <c r="I58" s="2">
        <v>0</v>
      </c>
      <c r="J58" s="2">
        <v>0</v>
      </c>
      <c r="K58" s="2">
        <v>0</v>
      </c>
      <c r="L58" s="2">
        <v>1</v>
      </c>
      <c r="M58" s="2">
        <v>0</v>
      </c>
      <c r="N58" s="2">
        <v>0</v>
      </c>
      <c r="O58" s="2">
        <v>0</v>
      </c>
      <c r="P58" s="2">
        <v>0</v>
      </c>
    </row>
    <row r="59" spans="1:16" x14ac:dyDescent="0.2">
      <c r="A59" s="3">
        <f t="shared" si="1"/>
        <v>58</v>
      </c>
      <c r="C59" s="32" t="s">
        <v>24</v>
      </c>
      <c r="F59" s="7">
        <v>1995</v>
      </c>
      <c r="G59" s="33" t="s">
        <v>72</v>
      </c>
      <c r="H59" s="2">
        <v>0</v>
      </c>
      <c r="I59" s="2">
        <v>0</v>
      </c>
      <c r="J59" s="2">
        <v>0</v>
      </c>
      <c r="K59" s="2">
        <v>0</v>
      </c>
      <c r="L59" s="2">
        <v>1</v>
      </c>
      <c r="M59" s="2">
        <v>0</v>
      </c>
      <c r="N59" s="2">
        <v>0</v>
      </c>
      <c r="O59" s="2">
        <v>0</v>
      </c>
      <c r="P59" s="2">
        <v>0</v>
      </c>
    </row>
    <row r="60" spans="1:16" x14ac:dyDescent="0.2">
      <c r="A60" s="3">
        <f t="shared" si="1"/>
        <v>59</v>
      </c>
      <c r="B60" s="16"/>
      <c r="C60" s="34" t="s">
        <v>25</v>
      </c>
      <c r="D60" s="16"/>
      <c r="E60" s="16"/>
      <c r="F60" s="23">
        <v>1995</v>
      </c>
      <c r="G60" s="35" t="s">
        <v>72</v>
      </c>
      <c r="H60" s="2">
        <v>0</v>
      </c>
      <c r="I60" s="2">
        <v>0</v>
      </c>
      <c r="J60" s="2">
        <v>0</v>
      </c>
      <c r="K60" s="2">
        <v>0</v>
      </c>
      <c r="L60" s="2">
        <v>1</v>
      </c>
      <c r="M60" s="2">
        <v>0</v>
      </c>
      <c r="N60" s="2">
        <v>0</v>
      </c>
      <c r="O60" s="2">
        <v>0</v>
      </c>
      <c r="P60" s="2">
        <v>0</v>
      </c>
    </row>
    <row r="61" spans="1:16" x14ac:dyDescent="0.2">
      <c r="A61" s="3">
        <f t="shared" si="1"/>
        <v>60</v>
      </c>
      <c r="C61" s="36" t="s">
        <v>79</v>
      </c>
      <c r="F61" s="7">
        <v>1995</v>
      </c>
      <c r="G61" s="33" t="s">
        <v>72</v>
      </c>
      <c r="H61" s="2">
        <v>0</v>
      </c>
      <c r="I61" s="2">
        <v>0</v>
      </c>
      <c r="J61" s="2">
        <v>0</v>
      </c>
      <c r="K61" s="2">
        <v>0</v>
      </c>
      <c r="L61" s="2">
        <v>1</v>
      </c>
      <c r="M61" s="2">
        <v>0</v>
      </c>
      <c r="N61" s="2">
        <v>0</v>
      </c>
      <c r="O61" s="2">
        <v>0</v>
      </c>
      <c r="P61" s="2">
        <v>0</v>
      </c>
    </row>
    <row r="62" spans="1:16" x14ac:dyDescent="0.2">
      <c r="A62" s="3">
        <f t="shared" si="1"/>
        <v>61</v>
      </c>
      <c r="C62" s="36" t="s">
        <v>80</v>
      </c>
      <c r="F62" s="7">
        <v>1995</v>
      </c>
      <c r="G62" s="33" t="s">
        <v>72</v>
      </c>
      <c r="H62" s="2">
        <v>0</v>
      </c>
      <c r="I62" s="2">
        <v>0</v>
      </c>
      <c r="J62" s="2">
        <v>0</v>
      </c>
      <c r="K62" s="2">
        <v>0</v>
      </c>
      <c r="L62" s="2">
        <v>1</v>
      </c>
      <c r="M62" s="2">
        <v>0</v>
      </c>
      <c r="N62" s="2">
        <v>0</v>
      </c>
      <c r="O62" s="2">
        <v>0</v>
      </c>
      <c r="P62" s="2">
        <v>0</v>
      </c>
    </row>
    <row r="63" spans="1:16" x14ac:dyDescent="0.2">
      <c r="A63" s="3">
        <f t="shared" si="1"/>
        <v>62</v>
      </c>
      <c r="C63" s="36" t="s">
        <v>81</v>
      </c>
      <c r="F63" s="7">
        <v>1995</v>
      </c>
      <c r="G63" s="33" t="s">
        <v>72</v>
      </c>
      <c r="H63" s="2">
        <v>0</v>
      </c>
      <c r="I63" s="2">
        <v>0</v>
      </c>
      <c r="J63" s="2">
        <v>0</v>
      </c>
      <c r="K63" s="2">
        <v>0</v>
      </c>
      <c r="L63" s="2">
        <v>1</v>
      </c>
      <c r="M63" s="2">
        <v>0</v>
      </c>
      <c r="N63" s="2">
        <v>0</v>
      </c>
      <c r="O63" s="2">
        <v>0</v>
      </c>
      <c r="P63" s="2">
        <v>0</v>
      </c>
    </row>
    <row r="64" spans="1:16" x14ac:dyDescent="0.2">
      <c r="A64" s="3">
        <f t="shared" si="1"/>
        <v>63</v>
      </c>
      <c r="C64" s="36" t="s">
        <v>82</v>
      </c>
      <c r="F64" s="7">
        <v>1995</v>
      </c>
      <c r="G64" s="33" t="s">
        <v>72</v>
      </c>
      <c r="H64" s="2">
        <v>0</v>
      </c>
      <c r="I64" s="2">
        <v>0</v>
      </c>
      <c r="J64" s="2">
        <v>0</v>
      </c>
      <c r="K64" s="2">
        <v>0</v>
      </c>
      <c r="L64" s="2">
        <v>1</v>
      </c>
      <c r="M64" s="2">
        <v>0</v>
      </c>
      <c r="N64" s="2">
        <v>0</v>
      </c>
      <c r="O64" s="2">
        <v>0</v>
      </c>
      <c r="P64" s="2">
        <v>0</v>
      </c>
    </row>
    <row r="65" spans="1:16" x14ac:dyDescent="0.2">
      <c r="A65" s="3">
        <f t="shared" si="1"/>
        <v>64</v>
      </c>
      <c r="C65" s="36" t="s">
        <v>83</v>
      </c>
      <c r="F65" s="7">
        <v>1995</v>
      </c>
      <c r="G65" s="33" t="s">
        <v>72</v>
      </c>
      <c r="H65" s="2">
        <v>0</v>
      </c>
      <c r="I65" s="2">
        <v>0</v>
      </c>
      <c r="J65" s="2">
        <v>0</v>
      </c>
      <c r="K65" s="2">
        <v>0</v>
      </c>
      <c r="L65" s="2">
        <v>1</v>
      </c>
      <c r="M65" s="2">
        <v>0</v>
      </c>
      <c r="N65" s="2">
        <v>0</v>
      </c>
      <c r="O65" s="2">
        <v>0</v>
      </c>
      <c r="P65" s="2">
        <v>0</v>
      </c>
    </row>
    <row r="66" spans="1:16" x14ac:dyDescent="0.2">
      <c r="A66" s="3">
        <f t="shared" si="1"/>
        <v>65</v>
      </c>
      <c r="C66" s="36" t="s">
        <v>84</v>
      </c>
      <c r="F66" s="7">
        <v>1995</v>
      </c>
      <c r="G66" s="33" t="s">
        <v>72</v>
      </c>
      <c r="H66" s="2">
        <v>0</v>
      </c>
      <c r="I66" s="2">
        <v>0</v>
      </c>
      <c r="J66" s="2">
        <v>0</v>
      </c>
      <c r="K66" s="2">
        <v>0</v>
      </c>
      <c r="L66" s="2">
        <v>1</v>
      </c>
      <c r="M66" s="2">
        <v>0</v>
      </c>
      <c r="N66" s="2">
        <v>0</v>
      </c>
      <c r="O66" s="2">
        <v>0</v>
      </c>
      <c r="P66" s="2">
        <v>0</v>
      </c>
    </row>
    <row r="67" spans="1:16" x14ac:dyDescent="0.2">
      <c r="A67" s="3">
        <f t="shared" si="1"/>
        <v>66</v>
      </c>
      <c r="C67" s="36" t="s">
        <v>85</v>
      </c>
      <c r="F67" s="7">
        <v>1995</v>
      </c>
      <c r="G67" s="33" t="s">
        <v>72</v>
      </c>
      <c r="H67" s="2">
        <v>0</v>
      </c>
      <c r="I67" s="2">
        <v>0</v>
      </c>
      <c r="J67" s="2">
        <v>0</v>
      </c>
      <c r="K67" s="2">
        <v>0</v>
      </c>
      <c r="L67" s="2">
        <v>1</v>
      </c>
      <c r="M67" s="2">
        <v>0</v>
      </c>
      <c r="N67" s="2">
        <v>0</v>
      </c>
      <c r="O67" s="2">
        <v>0</v>
      </c>
      <c r="P67" s="2">
        <v>0</v>
      </c>
    </row>
    <row r="68" spans="1:16" x14ac:dyDescent="0.2">
      <c r="A68" s="3">
        <f t="shared" si="1"/>
        <v>67</v>
      </c>
      <c r="C68" s="36" t="s">
        <v>86</v>
      </c>
      <c r="F68" s="7">
        <v>1995</v>
      </c>
      <c r="G68" s="33" t="s">
        <v>72</v>
      </c>
      <c r="H68" s="2">
        <v>0</v>
      </c>
      <c r="I68" s="2">
        <v>0</v>
      </c>
      <c r="J68" s="2">
        <v>0</v>
      </c>
      <c r="K68" s="2">
        <v>0</v>
      </c>
      <c r="L68" s="2">
        <v>1</v>
      </c>
      <c r="M68" s="2">
        <v>0</v>
      </c>
      <c r="N68" s="2">
        <v>0</v>
      </c>
      <c r="O68" s="2">
        <v>0</v>
      </c>
      <c r="P68" s="2">
        <v>0</v>
      </c>
    </row>
    <row r="69" spans="1:16" x14ac:dyDescent="0.2">
      <c r="A69" s="3">
        <f t="shared" si="1"/>
        <v>68</v>
      </c>
      <c r="C69" s="36" t="s">
        <v>89</v>
      </c>
      <c r="F69" s="7">
        <v>1995</v>
      </c>
      <c r="G69" s="33" t="s">
        <v>72</v>
      </c>
      <c r="H69" s="2">
        <v>0</v>
      </c>
      <c r="I69" s="2">
        <v>0</v>
      </c>
      <c r="J69" s="2">
        <v>0</v>
      </c>
      <c r="K69" s="2">
        <v>0</v>
      </c>
      <c r="L69" s="2">
        <v>1</v>
      </c>
      <c r="M69" s="2">
        <v>0</v>
      </c>
      <c r="N69" s="2">
        <v>0</v>
      </c>
      <c r="O69" s="2">
        <v>0</v>
      </c>
      <c r="P69" s="2">
        <v>0</v>
      </c>
    </row>
    <row r="70" spans="1:16" x14ac:dyDescent="0.2">
      <c r="A70" s="3">
        <f t="shared" si="1"/>
        <v>69</v>
      </c>
      <c r="C70" s="36" t="s">
        <v>87</v>
      </c>
      <c r="F70" s="7">
        <v>1995</v>
      </c>
      <c r="G70" s="33" t="s">
        <v>72</v>
      </c>
      <c r="H70" s="2">
        <v>0</v>
      </c>
      <c r="I70" s="2">
        <v>0</v>
      </c>
      <c r="J70" s="2">
        <v>0</v>
      </c>
      <c r="K70" s="2">
        <v>0</v>
      </c>
      <c r="L70" s="2">
        <v>1</v>
      </c>
      <c r="M70" s="2">
        <v>0</v>
      </c>
      <c r="N70" s="2">
        <v>0</v>
      </c>
      <c r="O70" s="2">
        <v>0</v>
      </c>
      <c r="P70" s="2">
        <v>0</v>
      </c>
    </row>
    <row r="71" spans="1:16" x14ac:dyDescent="0.2">
      <c r="A71" s="3">
        <f t="shared" si="1"/>
        <v>70</v>
      </c>
      <c r="C71" s="36" t="s">
        <v>88</v>
      </c>
      <c r="F71" s="7">
        <v>1995</v>
      </c>
      <c r="G71" s="33" t="s">
        <v>72</v>
      </c>
      <c r="H71" s="2">
        <v>0</v>
      </c>
      <c r="I71" s="2">
        <v>0</v>
      </c>
      <c r="J71" s="2">
        <v>0</v>
      </c>
      <c r="K71" s="2">
        <v>0</v>
      </c>
      <c r="L71" s="2">
        <v>1</v>
      </c>
      <c r="M71" s="2">
        <v>0</v>
      </c>
      <c r="N71" s="2">
        <v>0</v>
      </c>
      <c r="O71" s="2">
        <v>0</v>
      </c>
      <c r="P71" s="2">
        <v>0</v>
      </c>
    </row>
    <row r="72" spans="1:16" x14ac:dyDescent="0.2">
      <c r="A72" s="3">
        <f t="shared" si="1"/>
        <v>71</v>
      </c>
      <c r="D72" s="37" t="s">
        <v>90</v>
      </c>
      <c r="E72" s="7"/>
      <c r="F72" s="13" t="s">
        <v>125</v>
      </c>
      <c r="G72" s="33" t="s">
        <v>72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  <c r="N72" s="2">
        <v>0</v>
      </c>
      <c r="O72" s="2">
        <v>0</v>
      </c>
      <c r="P72" s="2">
        <v>0</v>
      </c>
    </row>
    <row r="73" spans="1:16" x14ac:dyDescent="0.2">
      <c r="A73" s="3">
        <f t="shared" si="1"/>
        <v>72</v>
      </c>
      <c r="D73" s="37" t="s">
        <v>91</v>
      </c>
      <c r="E73" s="7"/>
      <c r="F73" s="13" t="s">
        <v>125</v>
      </c>
      <c r="G73" s="33" t="s">
        <v>72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1</v>
      </c>
      <c r="N73" s="2">
        <v>0</v>
      </c>
      <c r="O73" s="2">
        <v>0</v>
      </c>
      <c r="P73" s="2">
        <v>0</v>
      </c>
    </row>
    <row r="74" spans="1:16" x14ac:dyDescent="0.2">
      <c r="A74" s="3">
        <f t="shared" si="1"/>
        <v>73</v>
      </c>
      <c r="D74" s="37" t="s">
        <v>92</v>
      </c>
      <c r="E74" s="7"/>
      <c r="F74" s="13" t="s">
        <v>125</v>
      </c>
      <c r="G74" s="33" t="s">
        <v>72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1</v>
      </c>
      <c r="N74" s="2">
        <v>0</v>
      </c>
      <c r="O74" s="2">
        <v>0</v>
      </c>
      <c r="P74" s="2">
        <v>0</v>
      </c>
    </row>
    <row r="75" spans="1:16" x14ac:dyDescent="0.2">
      <c r="A75" s="3">
        <f t="shared" si="1"/>
        <v>74</v>
      </c>
      <c r="D75" s="37" t="s">
        <v>94</v>
      </c>
      <c r="E75" s="7"/>
      <c r="F75" s="13" t="s">
        <v>125</v>
      </c>
      <c r="G75" s="33" t="s">
        <v>72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1</v>
      </c>
      <c r="N75" s="2">
        <v>0</v>
      </c>
      <c r="O75" s="2">
        <v>0</v>
      </c>
      <c r="P75" s="2">
        <v>0</v>
      </c>
    </row>
    <row r="76" spans="1:16" x14ac:dyDescent="0.2">
      <c r="A76" s="3">
        <f t="shared" si="1"/>
        <v>75</v>
      </c>
      <c r="D76" s="37" t="s">
        <v>95</v>
      </c>
      <c r="E76" s="7"/>
      <c r="F76" s="13" t="s">
        <v>125</v>
      </c>
      <c r="G76" s="33" t="s">
        <v>72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1</v>
      </c>
      <c r="N76" s="2">
        <v>0</v>
      </c>
      <c r="O76" s="2">
        <v>0</v>
      </c>
      <c r="P76" s="2">
        <v>0</v>
      </c>
    </row>
    <row r="77" spans="1:16" x14ac:dyDescent="0.2">
      <c r="A77" s="3">
        <f t="shared" si="1"/>
        <v>76</v>
      </c>
      <c r="D77" s="37" t="s">
        <v>99</v>
      </c>
      <c r="E77" s="7"/>
      <c r="F77" s="13" t="s">
        <v>125</v>
      </c>
      <c r="G77" s="33" t="s">
        <v>72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1</v>
      </c>
      <c r="N77" s="2">
        <v>0</v>
      </c>
      <c r="O77" s="2">
        <v>0</v>
      </c>
      <c r="P77" s="2">
        <v>0</v>
      </c>
    </row>
    <row r="78" spans="1:16" x14ac:dyDescent="0.2">
      <c r="A78" s="3">
        <f t="shared" si="1"/>
        <v>77</v>
      </c>
      <c r="D78" s="37" t="s">
        <v>96</v>
      </c>
      <c r="E78" s="7"/>
      <c r="F78" s="13" t="s">
        <v>125</v>
      </c>
      <c r="G78" s="33" t="s">
        <v>72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  <c r="O78" s="2">
        <v>0</v>
      </c>
      <c r="P78" s="2">
        <v>0</v>
      </c>
    </row>
    <row r="79" spans="1:16" x14ac:dyDescent="0.2">
      <c r="A79" s="3">
        <f>1+A78</f>
        <v>78</v>
      </c>
      <c r="B79" s="16"/>
      <c r="C79" s="16"/>
      <c r="D79" s="38" t="s">
        <v>97</v>
      </c>
      <c r="E79" s="7"/>
      <c r="F79" s="13" t="s">
        <v>125</v>
      </c>
      <c r="G79" s="35" t="s">
        <v>72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1</v>
      </c>
      <c r="N79" s="2">
        <v>0</v>
      </c>
      <c r="O79" s="2">
        <v>0</v>
      </c>
      <c r="P79" s="2">
        <v>0</v>
      </c>
    </row>
    <row r="80" spans="1:16" x14ac:dyDescent="0.2">
      <c r="A80" s="3">
        <f>1+A79</f>
        <v>79</v>
      </c>
      <c r="D80" s="6" t="s">
        <v>98</v>
      </c>
      <c r="E80" s="7"/>
      <c r="F80" s="13" t="s">
        <v>125</v>
      </c>
      <c r="G80" s="33" t="s">
        <v>72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1</v>
      </c>
      <c r="N80" s="2">
        <v>0</v>
      </c>
      <c r="O80" s="2">
        <v>0</v>
      </c>
      <c r="P80" s="2">
        <v>0</v>
      </c>
    </row>
    <row r="81" spans="1:16" x14ac:dyDescent="0.2">
      <c r="A81" s="3">
        <f>1+A80</f>
        <v>80</v>
      </c>
      <c r="D81" s="6" t="s">
        <v>100</v>
      </c>
      <c r="E81" s="7"/>
      <c r="F81" s="13" t="s">
        <v>125</v>
      </c>
      <c r="G81" s="33" t="s">
        <v>72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1</v>
      </c>
      <c r="N81" s="2">
        <v>0</v>
      </c>
      <c r="O81" s="2">
        <v>0</v>
      </c>
      <c r="P81" s="2">
        <v>0</v>
      </c>
    </row>
    <row r="82" spans="1:16" x14ac:dyDescent="0.2">
      <c r="A82" s="3">
        <f>1+A81</f>
        <v>81</v>
      </c>
      <c r="D82" s="6" t="s">
        <v>101</v>
      </c>
      <c r="E82" s="7"/>
      <c r="F82" s="13" t="s">
        <v>125</v>
      </c>
      <c r="G82" s="33" t="s">
        <v>72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1</v>
      </c>
      <c r="N82" s="2">
        <v>0</v>
      </c>
      <c r="O82" s="2">
        <v>0</v>
      </c>
      <c r="P82" s="2">
        <v>0</v>
      </c>
    </row>
    <row r="83" spans="1:16" x14ac:dyDescent="0.2">
      <c r="A83" s="3">
        <f>1+A82</f>
        <v>82</v>
      </c>
      <c r="D83" s="6" t="s">
        <v>102</v>
      </c>
      <c r="E83" s="7"/>
      <c r="F83" s="13" t="s">
        <v>125</v>
      </c>
      <c r="G83" s="33" t="s">
        <v>72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1</v>
      </c>
      <c r="N83" s="2">
        <v>0</v>
      </c>
      <c r="O83" s="2">
        <v>0</v>
      </c>
      <c r="P83" s="2">
        <v>0</v>
      </c>
    </row>
    <row r="84" spans="1:16" x14ac:dyDescent="0.2">
      <c r="A84" s="3">
        <f t="shared" ref="A84:A91" si="2">1+A83</f>
        <v>83</v>
      </c>
      <c r="D84" s="6" t="s">
        <v>103</v>
      </c>
      <c r="E84" s="7"/>
      <c r="F84" s="13" t="s">
        <v>125</v>
      </c>
      <c r="G84" s="33" t="s">
        <v>72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1</v>
      </c>
      <c r="N84" s="2">
        <v>0</v>
      </c>
      <c r="O84" s="2">
        <v>0</v>
      </c>
      <c r="P84" s="2">
        <v>0</v>
      </c>
    </row>
    <row r="85" spans="1:16" x14ac:dyDescent="0.2">
      <c r="A85" s="3">
        <f t="shared" si="2"/>
        <v>84</v>
      </c>
      <c r="D85" s="6" t="s">
        <v>104</v>
      </c>
      <c r="E85" s="7"/>
      <c r="F85" s="13" t="s">
        <v>125</v>
      </c>
      <c r="G85" s="33" t="s">
        <v>72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1</v>
      </c>
      <c r="N85" s="2">
        <v>0</v>
      </c>
      <c r="O85" s="2">
        <v>0</v>
      </c>
      <c r="P85" s="2">
        <v>0</v>
      </c>
    </row>
    <row r="86" spans="1:16" x14ac:dyDescent="0.2">
      <c r="A86" s="3">
        <f t="shared" si="2"/>
        <v>85</v>
      </c>
      <c r="D86" s="6" t="s">
        <v>105</v>
      </c>
      <c r="E86" s="7"/>
      <c r="F86" s="13" t="s">
        <v>125</v>
      </c>
      <c r="G86" s="33" t="s">
        <v>72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1</v>
      </c>
      <c r="N86" s="2">
        <v>0</v>
      </c>
      <c r="O86" s="2">
        <v>0</v>
      </c>
      <c r="P86" s="2">
        <v>0</v>
      </c>
    </row>
    <row r="87" spans="1:16" x14ac:dyDescent="0.2">
      <c r="A87" s="3">
        <f t="shared" si="2"/>
        <v>86</v>
      </c>
      <c r="D87" s="6" t="s">
        <v>106</v>
      </c>
      <c r="E87" s="7"/>
      <c r="F87" s="13" t="s">
        <v>125</v>
      </c>
      <c r="G87" s="33" t="s">
        <v>72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1</v>
      </c>
      <c r="N87" s="2">
        <v>0</v>
      </c>
      <c r="O87" s="2">
        <v>0</v>
      </c>
      <c r="P87" s="2">
        <v>0</v>
      </c>
    </row>
    <row r="88" spans="1:16" x14ac:dyDescent="0.2">
      <c r="A88" s="3">
        <f t="shared" si="2"/>
        <v>87</v>
      </c>
      <c r="D88" s="6" t="s">
        <v>107</v>
      </c>
      <c r="E88" s="7"/>
      <c r="F88" s="13" t="s">
        <v>125</v>
      </c>
      <c r="G88" s="33" t="s">
        <v>72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1</v>
      </c>
      <c r="N88" s="2">
        <v>0</v>
      </c>
      <c r="O88" s="2">
        <v>0</v>
      </c>
      <c r="P88" s="2">
        <v>0</v>
      </c>
    </row>
    <row r="89" spans="1:16" x14ac:dyDescent="0.2">
      <c r="A89" s="3">
        <f t="shared" si="2"/>
        <v>88</v>
      </c>
      <c r="D89" s="6" t="s">
        <v>108</v>
      </c>
      <c r="E89" s="7"/>
      <c r="F89" s="13" t="s">
        <v>125</v>
      </c>
      <c r="G89" s="33" t="s">
        <v>72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1</v>
      </c>
      <c r="N89" s="2">
        <v>0</v>
      </c>
      <c r="O89" s="2">
        <v>0</v>
      </c>
      <c r="P89" s="2">
        <v>0</v>
      </c>
    </row>
    <row r="90" spans="1:16" x14ac:dyDescent="0.2">
      <c r="A90" s="3">
        <f t="shared" si="2"/>
        <v>89</v>
      </c>
      <c r="D90" s="6" t="s">
        <v>109</v>
      </c>
      <c r="E90" s="7"/>
      <c r="F90" s="13" t="s">
        <v>125</v>
      </c>
      <c r="G90" s="33" t="s">
        <v>72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1</v>
      </c>
      <c r="N90" s="2">
        <v>0</v>
      </c>
      <c r="O90" s="2">
        <v>0</v>
      </c>
      <c r="P90" s="2">
        <v>0</v>
      </c>
    </row>
    <row r="91" spans="1:16" x14ac:dyDescent="0.2">
      <c r="A91" s="3">
        <f t="shared" si="2"/>
        <v>90</v>
      </c>
      <c r="D91" s="6" t="s">
        <v>110</v>
      </c>
      <c r="E91" s="7"/>
      <c r="F91" s="13" t="s">
        <v>125</v>
      </c>
      <c r="G91" s="33" t="s">
        <v>72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1</v>
      </c>
      <c r="N91" s="2">
        <v>0</v>
      </c>
      <c r="O91" s="2">
        <v>0</v>
      </c>
      <c r="P91" s="2">
        <v>0</v>
      </c>
    </row>
    <row r="92" spans="1:16" x14ac:dyDescent="0.2">
      <c r="A92" s="3">
        <f t="shared" ref="A92:A150" si="3">1+A91</f>
        <v>91</v>
      </c>
      <c r="D92" s="6" t="s">
        <v>111</v>
      </c>
      <c r="E92" s="7"/>
      <c r="F92" s="13" t="s">
        <v>125</v>
      </c>
      <c r="G92" s="33" t="s">
        <v>72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1</v>
      </c>
      <c r="N92" s="2">
        <v>0</v>
      </c>
      <c r="O92" s="2">
        <v>0</v>
      </c>
      <c r="P92" s="2">
        <v>0</v>
      </c>
    </row>
    <row r="93" spans="1:16" x14ac:dyDescent="0.2">
      <c r="A93" s="3">
        <f t="shared" si="3"/>
        <v>92</v>
      </c>
      <c r="D93" s="6" t="s">
        <v>112</v>
      </c>
      <c r="E93" s="7"/>
      <c r="F93" s="13" t="s">
        <v>125</v>
      </c>
      <c r="G93" s="33" t="s">
        <v>72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1</v>
      </c>
      <c r="N93" s="2">
        <v>0</v>
      </c>
      <c r="O93" s="2">
        <v>0</v>
      </c>
      <c r="P93" s="2">
        <v>0</v>
      </c>
    </row>
    <row r="94" spans="1:16" x14ac:dyDescent="0.2">
      <c r="A94" s="3">
        <f t="shared" si="3"/>
        <v>93</v>
      </c>
      <c r="D94" s="6" t="s">
        <v>113</v>
      </c>
      <c r="E94" s="7"/>
      <c r="F94" s="13" t="s">
        <v>125</v>
      </c>
      <c r="G94" s="33" t="s">
        <v>72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1</v>
      </c>
      <c r="N94" s="2">
        <v>0</v>
      </c>
      <c r="O94" s="2">
        <v>0</v>
      </c>
      <c r="P94" s="2">
        <v>0</v>
      </c>
    </row>
    <row r="95" spans="1:16" x14ac:dyDescent="0.2">
      <c r="A95" s="3">
        <f t="shared" si="3"/>
        <v>94</v>
      </c>
      <c r="D95" s="6" t="s">
        <v>114</v>
      </c>
      <c r="E95" s="7"/>
      <c r="F95" s="13" t="s">
        <v>125</v>
      </c>
      <c r="G95" s="33" t="s">
        <v>72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1</v>
      </c>
      <c r="N95" s="2">
        <v>0</v>
      </c>
      <c r="O95" s="2">
        <v>0</v>
      </c>
      <c r="P95" s="2">
        <v>0</v>
      </c>
    </row>
    <row r="96" spans="1:16" x14ac:dyDescent="0.2">
      <c r="A96" s="3">
        <f t="shared" si="3"/>
        <v>95</v>
      </c>
      <c r="D96" s="6" t="s">
        <v>115</v>
      </c>
      <c r="E96" s="7"/>
      <c r="F96" s="13" t="s">
        <v>125</v>
      </c>
      <c r="G96" s="33" t="s">
        <v>72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1</v>
      </c>
      <c r="N96" s="2">
        <v>0</v>
      </c>
      <c r="O96" s="2">
        <v>0</v>
      </c>
      <c r="P96" s="2">
        <v>0</v>
      </c>
    </row>
    <row r="97" spans="1:16" x14ac:dyDescent="0.2">
      <c r="A97" s="3">
        <f t="shared" si="3"/>
        <v>96</v>
      </c>
      <c r="D97" s="6" t="s">
        <v>116</v>
      </c>
      <c r="E97" s="7"/>
      <c r="F97" s="13" t="s">
        <v>125</v>
      </c>
      <c r="G97" s="33" t="s">
        <v>72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1</v>
      </c>
      <c r="N97" s="2">
        <v>0</v>
      </c>
      <c r="O97" s="2">
        <v>0</v>
      </c>
      <c r="P97" s="2">
        <v>0</v>
      </c>
    </row>
    <row r="98" spans="1:16" x14ac:dyDescent="0.2">
      <c r="A98" s="3">
        <f t="shared" si="3"/>
        <v>97</v>
      </c>
      <c r="D98" s="6" t="s">
        <v>117</v>
      </c>
      <c r="E98" s="7"/>
      <c r="F98" s="13" t="s">
        <v>125</v>
      </c>
      <c r="G98" s="33" t="s">
        <v>72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1</v>
      </c>
      <c r="N98" s="2">
        <v>0</v>
      </c>
      <c r="O98" s="2">
        <v>0</v>
      </c>
      <c r="P98" s="2">
        <v>0</v>
      </c>
    </row>
    <row r="99" spans="1:16" x14ac:dyDescent="0.2">
      <c r="A99" s="3">
        <f t="shared" si="3"/>
        <v>98</v>
      </c>
      <c r="D99" s="6" t="s">
        <v>118</v>
      </c>
      <c r="E99" s="7"/>
      <c r="F99" s="13" t="s">
        <v>125</v>
      </c>
      <c r="G99" s="33" t="s">
        <v>72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1</v>
      </c>
      <c r="N99" s="2">
        <v>0</v>
      </c>
      <c r="O99" s="2">
        <v>0</v>
      </c>
      <c r="P99" s="2">
        <v>0</v>
      </c>
    </row>
    <row r="100" spans="1:16" x14ac:dyDescent="0.2">
      <c r="A100" s="3">
        <f t="shared" si="3"/>
        <v>99</v>
      </c>
      <c r="D100" s="6" t="s">
        <v>119</v>
      </c>
      <c r="E100" s="7"/>
      <c r="F100" s="13" t="s">
        <v>125</v>
      </c>
      <c r="G100" s="33" t="s">
        <v>72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1</v>
      </c>
      <c r="N100" s="2">
        <v>0</v>
      </c>
      <c r="O100" s="2">
        <v>0</v>
      </c>
      <c r="P100" s="2">
        <v>0</v>
      </c>
    </row>
    <row r="101" spans="1:16" x14ac:dyDescent="0.2">
      <c r="A101" s="3">
        <f t="shared" si="3"/>
        <v>100</v>
      </c>
      <c r="D101" s="6" t="s">
        <v>120</v>
      </c>
      <c r="E101" s="7"/>
      <c r="F101" s="13" t="s">
        <v>125</v>
      </c>
      <c r="G101" s="33" t="s">
        <v>72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1</v>
      </c>
      <c r="N101" s="2">
        <v>0</v>
      </c>
      <c r="O101" s="2">
        <v>0</v>
      </c>
      <c r="P101" s="2">
        <v>0</v>
      </c>
    </row>
    <row r="102" spans="1:16" x14ac:dyDescent="0.2">
      <c r="A102" s="3">
        <f t="shared" si="3"/>
        <v>101</v>
      </c>
      <c r="D102" s="6" t="s">
        <v>109</v>
      </c>
      <c r="E102" s="7"/>
      <c r="F102" s="13" t="s">
        <v>125</v>
      </c>
      <c r="G102" s="33" t="s">
        <v>72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1</v>
      </c>
      <c r="N102" s="2">
        <v>0</v>
      </c>
      <c r="O102" s="2">
        <v>0</v>
      </c>
      <c r="P102" s="2">
        <v>0</v>
      </c>
    </row>
    <row r="103" spans="1:16" x14ac:dyDescent="0.2">
      <c r="A103" s="3">
        <f t="shared" si="3"/>
        <v>102</v>
      </c>
      <c r="D103" s="6" t="s">
        <v>110</v>
      </c>
      <c r="E103" s="7"/>
      <c r="F103" s="13" t="s">
        <v>125</v>
      </c>
      <c r="G103" s="33" t="s">
        <v>72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1</v>
      </c>
      <c r="N103" s="2">
        <v>0</v>
      </c>
      <c r="O103" s="2">
        <v>0</v>
      </c>
      <c r="P103" s="2">
        <v>0</v>
      </c>
    </row>
    <row r="104" spans="1:16" x14ac:dyDescent="0.2">
      <c r="A104" s="3">
        <f t="shared" si="3"/>
        <v>103</v>
      </c>
      <c r="D104" s="6" t="s">
        <v>111</v>
      </c>
      <c r="E104" s="7"/>
      <c r="F104" s="13" t="s">
        <v>125</v>
      </c>
      <c r="G104" s="33" t="s">
        <v>72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1</v>
      </c>
      <c r="N104" s="2">
        <v>0</v>
      </c>
      <c r="O104" s="2">
        <v>0</v>
      </c>
      <c r="P104" s="2">
        <v>0</v>
      </c>
    </row>
    <row r="105" spans="1:16" x14ac:dyDescent="0.2">
      <c r="A105" s="3">
        <f t="shared" si="3"/>
        <v>104</v>
      </c>
      <c r="D105" s="6" t="s">
        <v>121</v>
      </c>
      <c r="E105" s="7"/>
      <c r="F105" s="13" t="s">
        <v>125</v>
      </c>
      <c r="G105" s="33" t="s">
        <v>72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1</v>
      </c>
      <c r="N105" s="2">
        <v>0</v>
      </c>
      <c r="O105" s="2">
        <v>0</v>
      </c>
      <c r="P105" s="2">
        <v>0</v>
      </c>
    </row>
    <row r="106" spans="1:16" x14ac:dyDescent="0.2">
      <c r="A106" s="3">
        <f t="shared" si="3"/>
        <v>105</v>
      </c>
      <c r="D106" s="6" t="s">
        <v>122</v>
      </c>
      <c r="E106" s="7"/>
      <c r="F106" s="13" t="s">
        <v>125</v>
      </c>
      <c r="G106" s="33" t="s">
        <v>72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1</v>
      </c>
      <c r="N106" s="2">
        <v>0</v>
      </c>
      <c r="O106" s="2">
        <v>0</v>
      </c>
      <c r="P106" s="2">
        <v>0</v>
      </c>
    </row>
    <row r="107" spans="1:16" x14ac:dyDescent="0.2">
      <c r="A107" s="3">
        <f t="shared" si="3"/>
        <v>106</v>
      </c>
      <c r="D107" s="7"/>
      <c r="E107" s="39" t="s">
        <v>127</v>
      </c>
      <c r="F107" s="7" t="s">
        <v>124</v>
      </c>
      <c r="G107" s="33" t="s">
        <v>72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1</v>
      </c>
      <c r="O107" s="2">
        <v>0</v>
      </c>
      <c r="P107" s="2">
        <v>0</v>
      </c>
    </row>
    <row r="108" spans="1:16" x14ac:dyDescent="0.2">
      <c r="A108" s="3">
        <f t="shared" si="3"/>
        <v>107</v>
      </c>
      <c r="D108" s="7"/>
      <c r="E108" s="39" t="s">
        <v>128</v>
      </c>
      <c r="F108" s="7" t="s">
        <v>124</v>
      </c>
      <c r="G108" s="33" t="s">
        <v>72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1</v>
      </c>
      <c r="O108" s="2">
        <v>0</v>
      </c>
      <c r="P108" s="2">
        <v>0</v>
      </c>
    </row>
    <row r="109" spans="1:16" x14ac:dyDescent="0.2">
      <c r="A109" s="3">
        <f t="shared" si="3"/>
        <v>108</v>
      </c>
      <c r="D109" s="7"/>
      <c r="E109" s="39" t="s">
        <v>129</v>
      </c>
      <c r="F109" s="7" t="s">
        <v>124</v>
      </c>
      <c r="G109" s="33" t="s">
        <v>72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1</v>
      </c>
      <c r="O109" s="2">
        <v>0</v>
      </c>
      <c r="P109" s="2">
        <v>0</v>
      </c>
    </row>
    <row r="110" spans="1:16" x14ac:dyDescent="0.2">
      <c r="A110" s="3">
        <f t="shared" si="3"/>
        <v>109</v>
      </c>
      <c r="D110" s="7"/>
      <c r="E110" s="39" t="s">
        <v>130</v>
      </c>
      <c r="F110" s="7" t="s">
        <v>124</v>
      </c>
      <c r="G110" s="33" t="s">
        <v>72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1</v>
      </c>
      <c r="O110" s="2">
        <v>0</v>
      </c>
      <c r="P110" s="2">
        <v>0</v>
      </c>
    </row>
    <row r="111" spans="1:16" x14ac:dyDescent="0.2">
      <c r="A111" s="3">
        <f t="shared" si="3"/>
        <v>110</v>
      </c>
      <c r="D111" s="7"/>
      <c r="E111" s="39" t="s">
        <v>131</v>
      </c>
      <c r="F111" s="7" t="s">
        <v>124</v>
      </c>
      <c r="G111" s="33" t="s">
        <v>72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1</v>
      </c>
      <c r="O111" s="2">
        <v>0</v>
      </c>
      <c r="P111" s="2">
        <v>0</v>
      </c>
    </row>
    <row r="112" spans="1:16" x14ac:dyDescent="0.2">
      <c r="A112" s="3">
        <f t="shared" si="3"/>
        <v>111</v>
      </c>
      <c r="D112" s="7"/>
      <c r="E112" s="39" t="s">
        <v>132</v>
      </c>
      <c r="F112" s="7" t="s">
        <v>124</v>
      </c>
      <c r="G112" s="33" t="s">
        <v>72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1</v>
      </c>
      <c r="O112" s="2">
        <v>0</v>
      </c>
      <c r="P112" s="2">
        <v>0</v>
      </c>
    </row>
    <row r="113" spans="1:16" x14ac:dyDescent="0.2">
      <c r="A113" s="3">
        <f t="shared" si="3"/>
        <v>112</v>
      </c>
      <c r="D113" s="7"/>
      <c r="E113" s="39" t="s">
        <v>133</v>
      </c>
      <c r="F113" s="7" t="s">
        <v>124</v>
      </c>
      <c r="G113" s="33" t="s">
        <v>72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1</v>
      </c>
      <c r="O113" s="2">
        <v>0</v>
      </c>
      <c r="P113" s="2">
        <v>0</v>
      </c>
    </row>
    <row r="114" spans="1:16" x14ac:dyDescent="0.2">
      <c r="A114" s="3">
        <f t="shared" si="3"/>
        <v>113</v>
      </c>
      <c r="D114" s="7"/>
      <c r="E114" s="39" t="s">
        <v>134</v>
      </c>
      <c r="F114" s="7" t="s">
        <v>124</v>
      </c>
      <c r="G114" s="33" t="s">
        <v>72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1</v>
      </c>
      <c r="O114" s="2">
        <v>0</v>
      </c>
      <c r="P114" s="2">
        <v>0</v>
      </c>
    </row>
    <row r="115" spans="1:16" x14ac:dyDescent="0.2">
      <c r="A115" s="3">
        <f t="shared" si="3"/>
        <v>114</v>
      </c>
      <c r="D115" s="7"/>
      <c r="E115" s="39" t="s">
        <v>135</v>
      </c>
      <c r="F115" s="7" t="s">
        <v>124</v>
      </c>
      <c r="G115" s="33" t="s">
        <v>72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1</v>
      </c>
      <c r="O115" s="2">
        <v>0</v>
      </c>
      <c r="P115" s="2">
        <v>0</v>
      </c>
    </row>
    <row r="116" spans="1:16" x14ac:dyDescent="0.2">
      <c r="A116" s="3">
        <f t="shared" si="3"/>
        <v>115</v>
      </c>
      <c r="D116" s="7"/>
      <c r="E116" s="39" t="s">
        <v>136</v>
      </c>
      <c r="F116" s="7" t="s">
        <v>124</v>
      </c>
      <c r="G116" s="33" t="s">
        <v>72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1</v>
      </c>
      <c r="O116" s="2">
        <v>0</v>
      </c>
      <c r="P116" s="2">
        <v>0</v>
      </c>
    </row>
    <row r="117" spans="1:16" x14ac:dyDescent="0.2">
      <c r="A117" s="3">
        <f t="shared" si="3"/>
        <v>116</v>
      </c>
      <c r="D117" s="7"/>
      <c r="E117" s="39" t="s">
        <v>137</v>
      </c>
      <c r="F117" s="7" t="s">
        <v>124</v>
      </c>
      <c r="G117" s="33" t="s">
        <v>72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1</v>
      </c>
      <c r="O117" s="2">
        <v>0</v>
      </c>
      <c r="P117" s="2">
        <v>0</v>
      </c>
    </row>
    <row r="118" spans="1:16" x14ac:dyDescent="0.2">
      <c r="A118" s="3">
        <f t="shared" si="3"/>
        <v>117</v>
      </c>
      <c r="D118" s="7"/>
      <c r="E118" s="39" t="s">
        <v>138</v>
      </c>
      <c r="F118" s="7" t="s">
        <v>124</v>
      </c>
      <c r="G118" s="33" t="s">
        <v>72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1</v>
      </c>
      <c r="O118" s="2">
        <v>0</v>
      </c>
      <c r="P118" s="2">
        <v>0</v>
      </c>
    </row>
    <row r="119" spans="1:16" x14ac:dyDescent="0.2">
      <c r="A119" s="3">
        <f t="shared" si="3"/>
        <v>118</v>
      </c>
      <c r="D119" s="7"/>
      <c r="E119" s="39" t="s">
        <v>139</v>
      </c>
      <c r="F119" s="7" t="s">
        <v>124</v>
      </c>
      <c r="G119" s="33" t="s">
        <v>72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1</v>
      </c>
      <c r="O119" s="2">
        <v>0</v>
      </c>
      <c r="P119" s="2">
        <v>0</v>
      </c>
    </row>
    <row r="120" spans="1:16" x14ac:dyDescent="0.2">
      <c r="A120" s="3">
        <f t="shared" si="3"/>
        <v>119</v>
      </c>
      <c r="D120" s="7"/>
      <c r="E120" s="39" t="s">
        <v>140</v>
      </c>
      <c r="F120" s="7" t="s">
        <v>124</v>
      </c>
      <c r="G120" s="33" t="s">
        <v>72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1</v>
      </c>
      <c r="O120" s="2">
        <v>0</v>
      </c>
      <c r="P120" s="2">
        <v>0</v>
      </c>
    </row>
    <row r="121" spans="1:16" x14ac:dyDescent="0.2">
      <c r="A121" s="3">
        <f t="shared" si="3"/>
        <v>120</v>
      </c>
      <c r="D121" s="7"/>
      <c r="E121" s="39" t="s">
        <v>141</v>
      </c>
      <c r="F121" s="7" t="s">
        <v>124</v>
      </c>
      <c r="G121" s="33" t="s">
        <v>72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1</v>
      </c>
      <c r="O121" s="2">
        <v>0</v>
      </c>
      <c r="P121" s="2">
        <v>0</v>
      </c>
    </row>
    <row r="122" spans="1:16" x14ac:dyDescent="0.2">
      <c r="A122" s="3">
        <f t="shared" si="3"/>
        <v>121</v>
      </c>
      <c r="D122" s="7"/>
      <c r="E122" s="39" t="s">
        <v>142</v>
      </c>
      <c r="F122" s="7" t="s">
        <v>124</v>
      </c>
      <c r="G122" s="33" t="s">
        <v>72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1</v>
      </c>
      <c r="O122" s="2">
        <v>0</v>
      </c>
      <c r="P122" s="2">
        <v>0</v>
      </c>
    </row>
    <row r="123" spans="1:16" x14ac:dyDescent="0.2">
      <c r="A123" s="3">
        <f t="shared" si="3"/>
        <v>122</v>
      </c>
      <c r="D123" s="7"/>
      <c r="E123" s="39" t="s">
        <v>143</v>
      </c>
      <c r="F123" s="7" t="s">
        <v>124</v>
      </c>
      <c r="G123" s="33" t="s">
        <v>72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1</v>
      </c>
      <c r="O123" s="2">
        <v>0</v>
      </c>
      <c r="P123" s="2">
        <v>0</v>
      </c>
    </row>
    <row r="124" spans="1:16" x14ac:dyDescent="0.2">
      <c r="A124" s="3">
        <f t="shared" si="3"/>
        <v>123</v>
      </c>
      <c r="D124" s="7"/>
      <c r="E124" s="39" t="s">
        <v>144</v>
      </c>
      <c r="F124" s="7" t="s">
        <v>124</v>
      </c>
      <c r="G124" s="33" t="s">
        <v>72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1</v>
      </c>
      <c r="O124" s="2">
        <v>0</v>
      </c>
      <c r="P124" s="2">
        <v>0</v>
      </c>
    </row>
    <row r="125" spans="1:16" x14ac:dyDescent="0.2">
      <c r="A125" s="3">
        <f t="shared" si="3"/>
        <v>124</v>
      </c>
      <c r="D125" s="7"/>
      <c r="E125" s="39" t="s">
        <v>145</v>
      </c>
      <c r="F125" s="7" t="s">
        <v>124</v>
      </c>
      <c r="G125" s="33" t="s">
        <v>72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1</v>
      </c>
      <c r="O125" s="2">
        <v>0</v>
      </c>
      <c r="P125" s="2">
        <v>0</v>
      </c>
    </row>
    <row r="126" spans="1:16" x14ac:dyDescent="0.2">
      <c r="A126" s="3">
        <f t="shared" si="3"/>
        <v>125</v>
      </c>
      <c r="D126" s="7"/>
      <c r="E126" s="39" t="s">
        <v>146</v>
      </c>
      <c r="F126" s="7" t="s">
        <v>124</v>
      </c>
      <c r="G126" s="33" t="s">
        <v>72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1</v>
      </c>
      <c r="O126" s="2">
        <v>0</v>
      </c>
      <c r="P126" s="2">
        <v>0</v>
      </c>
    </row>
    <row r="127" spans="1:16" x14ac:dyDescent="0.2">
      <c r="A127" s="3">
        <f t="shared" si="3"/>
        <v>126</v>
      </c>
      <c r="D127" s="7"/>
      <c r="E127" s="39" t="s">
        <v>147</v>
      </c>
      <c r="F127" s="13" t="s">
        <v>123</v>
      </c>
      <c r="G127" s="33" t="s">
        <v>72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1</v>
      </c>
      <c r="P127" s="2">
        <v>0</v>
      </c>
    </row>
    <row r="128" spans="1:16" x14ac:dyDescent="0.2">
      <c r="A128" s="3">
        <f t="shared" si="3"/>
        <v>127</v>
      </c>
      <c r="D128" s="7"/>
      <c r="E128" s="39" t="s">
        <v>148</v>
      </c>
      <c r="F128" s="13" t="s">
        <v>123</v>
      </c>
      <c r="G128" s="33" t="s">
        <v>72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1</v>
      </c>
      <c r="P128" s="2">
        <v>0</v>
      </c>
    </row>
    <row r="129" spans="1:16" x14ac:dyDescent="0.2">
      <c r="A129" s="3">
        <f t="shared" si="3"/>
        <v>128</v>
      </c>
      <c r="D129" s="7"/>
      <c r="E129" s="39" t="s">
        <v>149</v>
      </c>
      <c r="F129" s="13" t="s">
        <v>123</v>
      </c>
      <c r="G129" s="33" t="s">
        <v>72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1</v>
      </c>
      <c r="P129" s="2">
        <v>0</v>
      </c>
    </row>
    <row r="130" spans="1:16" x14ac:dyDescent="0.2">
      <c r="A130" s="3">
        <f t="shared" si="3"/>
        <v>129</v>
      </c>
      <c r="D130" s="7"/>
      <c r="E130" s="39" t="s">
        <v>150</v>
      </c>
      <c r="F130" s="13" t="s">
        <v>123</v>
      </c>
      <c r="G130" s="33" t="s">
        <v>72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1</v>
      </c>
      <c r="P130" s="2">
        <v>0</v>
      </c>
    </row>
    <row r="131" spans="1:16" x14ac:dyDescent="0.2">
      <c r="A131" s="3">
        <f t="shared" si="3"/>
        <v>130</v>
      </c>
      <c r="D131" s="7"/>
      <c r="E131" s="39" t="s">
        <v>151</v>
      </c>
      <c r="F131" s="13" t="s">
        <v>123</v>
      </c>
      <c r="G131" s="33" t="s">
        <v>72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1</v>
      </c>
      <c r="P131" s="2">
        <v>0</v>
      </c>
    </row>
    <row r="132" spans="1:16" x14ac:dyDescent="0.2">
      <c r="A132" s="3">
        <f t="shared" si="3"/>
        <v>131</v>
      </c>
      <c r="D132" s="7"/>
      <c r="E132" s="39" t="s">
        <v>152</v>
      </c>
      <c r="F132" s="13" t="s">
        <v>123</v>
      </c>
      <c r="G132" s="33" t="s">
        <v>72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1</v>
      </c>
      <c r="P132" s="2">
        <v>0</v>
      </c>
    </row>
    <row r="133" spans="1:16" x14ac:dyDescent="0.2">
      <c r="A133" s="3">
        <f t="shared" si="3"/>
        <v>132</v>
      </c>
      <c r="D133" s="7"/>
      <c r="E133" s="39" t="s">
        <v>153</v>
      </c>
      <c r="F133" s="13" t="s">
        <v>123</v>
      </c>
      <c r="G133" s="33" t="s">
        <v>72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1</v>
      </c>
      <c r="P133" s="2">
        <v>0</v>
      </c>
    </row>
    <row r="134" spans="1:16" x14ac:dyDescent="0.2">
      <c r="A134" s="3">
        <f t="shared" si="3"/>
        <v>133</v>
      </c>
      <c r="D134" s="7"/>
      <c r="E134" s="39" t="s">
        <v>154</v>
      </c>
      <c r="F134" s="13" t="s">
        <v>123</v>
      </c>
      <c r="G134" s="33" t="s">
        <v>72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1</v>
      </c>
      <c r="P134" s="2">
        <v>0</v>
      </c>
    </row>
    <row r="135" spans="1:16" x14ac:dyDescent="0.2">
      <c r="A135" s="3">
        <f t="shared" si="3"/>
        <v>134</v>
      </c>
      <c r="D135" s="7"/>
      <c r="E135" s="39" t="s">
        <v>155</v>
      </c>
      <c r="F135" s="13" t="s">
        <v>123</v>
      </c>
      <c r="G135" s="33" t="s">
        <v>72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1</v>
      </c>
      <c r="P135" s="2">
        <v>0</v>
      </c>
    </row>
    <row r="136" spans="1:16" x14ac:dyDescent="0.2">
      <c r="A136" s="3">
        <f t="shared" si="3"/>
        <v>135</v>
      </c>
      <c r="D136" s="7"/>
      <c r="E136" s="39" t="s">
        <v>156</v>
      </c>
      <c r="F136" s="13" t="s">
        <v>123</v>
      </c>
      <c r="G136" s="33" t="s">
        <v>72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1</v>
      </c>
      <c r="P136" s="2">
        <v>0</v>
      </c>
    </row>
    <row r="137" spans="1:16" x14ac:dyDescent="0.2">
      <c r="A137" s="3">
        <f t="shared" si="3"/>
        <v>136</v>
      </c>
      <c r="D137" s="7"/>
      <c r="E137" s="39" t="s">
        <v>157</v>
      </c>
      <c r="F137" s="13" t="s">
        <v>123</v>
      </c>
      <c r="G137" s="33" t="s">
        <v>72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1</v>
      </c>
      <c r="P137" s="2">
        <v>0</v>
      </c>
    </row>
    <row r="138" spans="1:16" x14ac:dyDescent="0.2">
      <c r="A138" s="3">
        <f t="shared" si="3"/>
        <v>137</v>
      </c>
      <c r="D138" s="7"/>
      <c r="E138" s="39" t="s">
        <v>158</v>
      </c>
      <c r="F138" s="13" t="s">
        <v>123</v>
      </c>
      <c r="G138" s="33" t="s">
        <v>72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1</v>
      </c>
      <c r="P138" s="2">
        <v>0</v>
      </c>
    </row>
    <row r="139" spans="1:16" x14ac:dyDescent="0.2">
      <c r="A139" s="3">
        <f t="shared" si="3"/>
        <v>138</v>
      </c>
      <c r="D139" s="7"/>
      <c r="E139" s="39" t="s">
        <v>159</v>
      </c>
      <c r="F139" s="13" t="s">
        <v>123</v>
      </c>
      <c r="G139" s="33" t="s">
        <v>72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1</v>
      </c>
      <c r="P139" s="2">
        <v>0</v>
      </c>
    </row>
    <row r="140" spans="1:16" x14ac:dyDescent="0.2">
      <c r="A140" s="3">
        <f t="shared" si="3"/>
        <v>139</v>
      </c>
      <c r="D140" s="7"/>
      <c r="E140" s="39" t="s">
        <v>160</v>
      </c>
      <c r="F140" s="13" t="s">
        <v>123</v>
      </c>
      <c r="G140" s="33" t="s">
        <v>72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1</v>
      </c>
      <c r="P140" s="2">
        <v>0</v>
      </c>
    </row>
    <row r="141" spans="1:16" x14ac:dyDescent="0.2">
      <c r="A141" s="3">
        <f t="shared" si="3"/>
        <v>140</v>
      </c>
      <c r="D141" s="7"/>
      <c r="E141" s="39" t="s">
        <v>161</v>
      </c>
      <c r="F141" s="13" t="s">
        <v>123</v>
      </c>
      <c r="G141" s="33" t="s">
        <v>72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1</v>
      </c>
      <c r="P141" s="2">
        <v>0</v>
      </c>
    </row>
    <row r="142" spans="1:16" x14ac:dyDescent="0.2">
      <c r="A142" s="3">
        <f t="shared" si="3"/>
        <v>141</v>
      </c>
      <c r="D142" s="7"/>
      <c r="E142" s="39" t="s">
        <v>162</v>
      </c>
      <c r="F142" s="13" t="s">
        <v>123</v>
      </c>
      <c r="G142" s="33" t="s">
        <v>72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1</v>
      </c>
      <c r="P142" s="2">
        <v>0</v>
      </c>
    </row>
    <row r="143" spans="1:16" x14ac:dyDescent="0.2">
      <c r="A143" s="3">
        <f t="shared" si="3"/>
        <v>142</v>
      </c>
      <c r="D143" s="7"/>
      <c r="E143" s="39" t="s">
        <v>163</v>
      </c>
      <c r="F143" s="13" t="s">
        <v>123</v>
      </c>
      <c r="G143" s="33" t="s">
        <v>72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1</v>
      </c>
      <c r="P143" s="2">
        <v>0</v>
      </c>
    </row>
    <row r="144" spans="1:16" x14ac:dyDescent="0.2">
      <c r="A144" s="3">
        <f t="shared" si="3"/>
        <v>143</v>
      </c>
      <c r="D144" s="7"/>
      <c r="E144" s="39" t="s">
        <v>164</v>
      </c>
      <c r="F144" s="13" t="s">
        <v>123</v>
      </c>
      <c r="G144" s="33" t="s">
        <v>72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1</v>
      </c>
      <c r="P144" s="2">
        <v>0</v>
      </c>
    </row>
    <row r="145" spans="1:16" x14ac:dyDescent="0.2">
      <c r="A145" s="3">
        <f t="shared" si="3"/>
        <v>144</v>
      </c>
      <c r="D145" s="7"/>
      <c r="E145" s="39" t="s">
        <v>165</v>
      </c>
      <c r="F145" s="13" t="s">
        <v>123</v>
      </c>
      <c r="G145" s="33" t="s">
        <v>72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1</v>
      </c>
      <c r="P145" s="2">
        <v>0</v>
      </c>
    </row>
    <row r="146" spans="1:16" x14ac:dyDescent="0.2">
      <c r="A146" s="3">
        <f t="shared" si="3"/>
        <v>145</v>
      </c>
      <c r="D146" s="7"/>
      <c r="E146" s="39" t="s">
        <v>166</v>
      </c>
      <c r="F146" s="13" t="s">
        <v>123</v>
      </c>
      <c r="G146" s="33" t="s">
        <v>72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1</v>
      </c>
      <c r="P146" s="2">
        <v>0</v>
      </c>
    </row>
    <row r="147" spans="1:16" x14ac:dyDescent="0.2">
      <c r="A147" s="3">
        <f t="shared" si="3"/>
        <v>146</v>
      </c>
      <c r="D147" s="7"/>
      <c r="E147" s="7" t="s">
        <v>167</v>
      </c>
      <c r="F147" s="7" t="s">
        <v>287</v>
      </c>
      <c r="G147" s="33" t="s">
        <v>72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1</v>
      </c>
    </row>
    <row r="148" spans="1:16" x14ac:dyDescent="0.2">
      <c r="A148" s="3">
        <f t="shared" si="3"/>
        <v>147</v>
      </c>
      <c r="D148" s="7"/>
      <c r="E148" s="7" t="s">
        <v>168</v>
      </c>
      <c r="F148" s="7" t="s">
        <v>287</v>
      </c>
      <c r="G148" s="33" t="s">
        <v>72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1</v>
      </c>
    </row>
    <row r="149" spans="1:16" x14ac:dyDescent="0.2">
      <c r="A149" s="3">
        <f t="shared" si="3"/>
        <v>148</v>
      </c>
      <c r="D149" s="7"/>
      <c r="E149" s="7" t="s">
        <v>169</v>
      </c>
      <c r="F149" s="7" t="s">
        <v>287</v>
      </c>
      <c r="G149" s="33" t="s">
        <v>72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1</v>
      </c>
    </row>
    <row r="150" spans="1:16" x14ac:dyDescent="0.2">
      <c r="A150" s="3">
        <f t="shared" si="3"/>
        <v>149</v>
      </c>
      <c r="D150" s="7"/>
      <c r="E150" s="7" t="s">
        <v>170</v>
      </c>
      <c r="F150" s="7" t="s">
        <v>287</v>
      </c>
      <c r="G150" s="33" t="s">
        <v>72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1</v>
      </c>
    </row>
  </sheetData>
  <phoneticPr fontId="6" type="noConversion"/>
  <pageMargins left="0.75" right="0.75" top="0.56000000000000005" bottom="0.6" header="0.5" footer="0.5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134"/>
  <sheetViews>
    <sheetView workbookViewId="0">
      <pane xSplit="1" ySplit="2" topLeftCell="U97" activePane="bottomRight" state="frozen"/>
      <selection pane="topRight" activeCell="B1" sqref="B1"/>
      <selection pane="bottomLeft" activeCell="A3" sqref="A3"/>
      <selection pane="bottomRight" activeCell="AJ110" sqref="AJ110"/>
    </sheetView>
  </sheetViews>
  <sheetFormatPr defaultColWidth="9.21875" defaultRowHeight="10.199999999999999" x14ac:dyDescent="0.2"/>
  <cols>
    <col min="1" max="2" width="7" style="5" customWidth="1"/>
    <col min="3" max="3" width="7" style="54" customWidth="1"/>
    <col min="4" max="5" width="7" style="5" customWidth="1"/>
    <col min="6" max="7" width="7" style="54" customWidth="1"/>
    <col min="8" max="11" width="7" style="5" customWidth="1"/>
    <col min="12" max="12" width="7" style="54" customWidth="1"/>
    <col min="13" max="13" width="7" style="5" customWidth="1"/>
    <col min="14" max="14" width="7" style="54" customWidth="1"/>
    <col min="15" max="20" width="7" style="5" customWidth="1"/>
    <col min="21" max="21" width="7" style="54" customWidth="1"/>
    <col min="22" max="43" width="7" style="5" customWidth="1"/>
    <col min="44" max="16384" width="9.21875" style="5"/>
  </cols>
  <sheetData>
    <row r="1" spans="1:43" s="4" customFormat="1" x14ac:dyDescent="0.2">
      <c r="A1" s="4" t="s">
        <v>26</v>
      </c>
      <c r="B1" s="55" t="s">
        <v>27</v>
      </c>
      <c r="C1" s="55" t="s">
        <v>28</v>
      </c>
      <c r="D1" s="55" t="s">
        <v>29</v>
      </c>
      <c r="E1" s="55" t="s">
        <v>30</v>
      </c>
      <c r="F1" s="55" t="s">
        <v>31</v>
      </c>
      <c r="G1" s="55" t="s">
        <v>32</v>
      </c>
      <c r="H1" s="55" t="s">
        <v>33</v>
      </c>
      <c r="I1" s="55" t="s">
        <v>34</v>
      </c>
      <c r="J1" s="55" t="s">
        <v>35</v>
      </c>
      <c r="K1" s="55" t="s">
        <v>36</v>
      </c>
      <c r="L1" s="55" t="s">
        <v>37</v>
      </c>
      <c r="M1" s="56" t="s">
        <v>38</v>
      </c>
      <c r="N1" s="56" t="s">
        <v>39</v>
      </c>
      <c r="O1" s="56" t="s">
        <v>40</v>
      </c>
      <c r="P1" s="56" t="s">
        <v>41</v>
      </c>
      <c r="Q1" s="56" t="s">
        <v>42</v>
      </c>
      <c r="R1" s="56" t="s">
        <v>43</v>
      </c>
      <c r="S1" s="56" t="s">
        <v>44</v>
      </c>
      <c r="T1" s="56" t="s">
        <v>45</v>
      </c>
      <c r="U1" s="56" t="s">
        <v>46</v>
      </c>
      <c r="V1" s="57" t="s">
        <v>47</v>
      </c>
      <c r="W1" s="57" t="s">
        <v>48</v>
      </c>
      <c r="X1" s="57" t="s">
        <v>49</v>
      </c>
      <c r="Y1" s="57" t="s">
        <v>50</v>
      </c>
      <c r="Z1" s="57" t="s">
        <v>51</v>
      </c>
      <c r="AA1" s="57" t="s">
        <v>52</v>
      </c>
      <c r="AB1" s="57" t="s">
        <v>53</v>
      </c>
      <c r="AC1" s="57" t="s">
        <v>54</v>
      </c>
      <c r="AD1" s="57" t="s">
        <v>55</v>
      </c>
      <c r="AE1" s="57" t="s">
        <v>56</v>
      </c>
      <c r="AF1" s="58" t="s">
        <v>57</v>
      </c>
      <c r="AG1" s="58" t="s">
        <v>58</v>
      </c>
      <c r="AH1" s="58" t="s">
        <v>59</v>
      </c>
      <c r="AI1" s="58" t="s">
        <v>60</v>
      </c>
      <c r="AJ1" s="58" t="s">
        <v>61</v>
      </c>
      <c r="AK1" s="58" t="s">
        <v>62</v>
      </c>
      <c r="AL1" s="58" t="s">
        <v>63</v>
      </c>
      <c r="AM1" s="58" t="s">
        <v>64</v>
      </c>
      <c r="AN1" s="58" t="s">
        <v>65</v>
      </c>
      <c r="AO1" s="58" t="s">
        <v>66</v>
      </c>
      <c r="AP1" s="58" t="s">
        <v>67</v>
      </c>
      <c r="AQ1" s="58" t="s">
        <v>68</v>
      </c>
    </row>
    <row r="2" spans="1:43" s="4" customFormat="1" x14ac:dyDescent="0.2">
      <c r="B2" s="55" t="s">
        <v>299</v>
      </c>
      <c r="C2" s="55" t="s">
        <v>300</v>
      </c>
      <c r="D2" s="55" t="s">
        <v>301</v>
      </c>
      <c r="E2" s="55" t="s">
        <v>302</v>
      </c>
      <c r="F2" s="55" t="s">
        <v>303</v>
      </c>
      <c r="G2" s="55" t="s">
        <v>304</v>
      </c>
      <c r="H2" s="55" t="s">
        <v>305</v>
      </c>
      <c r="I2" s="55" t="s">
        <v>306</v>
      </c>
      <c r="J2" s="55" t="s">
        <v>307</v>
      </c>
      <c r="K2" s="55" t="s">
        <v>308</v>
      </c>
      <c r="L2" s="55" t="s">
        <v>309</v>
      </c>
      <c r="M2" s="56" t="s">
        <v>310</v>
      </c>
      <c r="N2" s="56" t="s">
        <v>311</v>
      </c>
      <c r="O2" s="56" t="s">
        <v>312</v>
      </c>
      <c r="P2" s="56" t="s">
        <v>313</v>
      </c>
      <c r="Q2" s="56" t="s">
        <v>314</v>
      </c>
      <c r="R2" s="56" t="s">
        <v>315</v>
      </c>
      <c r="S2" s="56" t="s">
        <v>316</v>
      </c>
      <c r="T2" s="56" t="s">
        <v>317</v>
      </c>
      <c r="U2" s="56" t="s">
        <v>318</v>
      </c>
      <c r="V2" s="56" t="s">
        <v>319</v>
      </c>
      <c r="W2" s="56" t="s">
        <v>320</v>
      </c>
      <c r="X2" s="56" t="s">
        <v>321</v>
      </c>
      <c r="Y2" s="56" t="s">
        <v>322</v>
      </c>
      <c r="Z2" s="56" t="s">
        <v>323</v>
      </c>
      <c r="AA2" s="56" t="s">
        <v>324</v>
      </c>
      <c r="AB2" s="56" t="s">
        <v>325</v>
      </c>
      <c r="AC2" s="56" t="s">
        <v>326</v>
      </c>
      <c r="AD2" s="56" t="s">
        <v>327</v>
      </c>
      <c r="AE2" s="56" t="s">
        <v>328</v>
      </c>
      <c r="AF2" s="58" t="s">
        <v>329</v>
      </c>
      <c r="AG2" s="58" t="s">
        <v>330</v>
      </c>
      <c r="AH2" s="58" t="s">
        <v>331</v>
      </c>
      <c r="AI2" s="58" t="s">
        <v>332</v>
      </c>
      <c r="AJ2" s="58" t="s">
        <v>333</v>
      </c>
      <c r="AK2" s="58"/>
      <c r="AL2" s="58"/>
      <c r="AM2" s="58"/>
      <c r="AN2" s="58"/>
      <c r="AO2" s="58"/>
      <c r="AP2" s="58"/>
      <c r="AQ2" s="58"/>
    </row>
    <row r="3" spans="1:43" x14ac:dyDescent="0.2">
      <c r="A3" s="4">
        <v>1970.1</v>
      </c>
      <c r="B3" s="5">
        <v>65950</v>
      </c>
      <c r="C3" s="54">
        <f t="shared" ref="C3:C66" si="0">0.9916*(B3+D3)/2</f>
        <v>65421.305800000002</v>
      </c>
      <c r="D3" s="5">
        <v>66001</v>
      </c>
      <c r="E3" s="5">
        <v>66209</v>
      </c>
      <c r="F3" s="54">
        <f t="shared" ref="F3:G18" si="1">E3</f>
        <v>66209</v>
      </c>
      <c r="G3" s="54">
        <f t="shared" si="1"/>
        <v>66209</v>
      </c>
      <c r="H3" s="5">
        <v>66209</v>
      </c>
      <c r="I3" s="5">
        <v>66209</v>
      </c>
      <c r="J3" s="5">
        <v>66209</v>
      </c>
      <c r="K3" s="5">
        <v>66209</v>
      </c>
      <c r="L3" s="54">
        <f t="shared" ref="L3:L66" si="2">K3</f>
        <v>66209</v>
      </c>
      <c r="M3" s="5">
        <v>129544</v>
      </c>
      <c r="N3" s="54">
        <f t="shared" ref="N3:N66" si="3">M3</f>
        <v>129544</v>
      </c>
      <c r="O3" s="5">
        <v>129544</v>
      </c>
      <c r="P3" s="5">
        <v>129544</v>
      </c>
      <c r="Q3" s="5">
        <v>129544</v>
      </c>
      <c r="R3" s="5">
        <v>129424</v>
      </c>
      <c r="S3" s="5">
        <v>129424</v>
      </c>
      <c r="T3" s="5">
        <v>129424</v>
      </c>
      <c r="U3" s="54">
        <f t="shared" ref="U3:U66" si="4">T3</f>
        <v>129424</v>
      </c>
      <c r="V3" s="5">
        <v>129424</v>
      </c>
      <c r="W3" s="5">
        <v>129424</v>
      </c>
      <c r="X3" s="5">
        <v>129424</v>
      </c>
      <c r="Y3" s="5">
        <v>129424</v>
      </c>
      <c r="Z3" s="5">
        <v>129424</v>
      </c>
      <c r="AA3" s="5">
        <v>129424</v>
      </c>
      <c r="AB3" s="5">
        <v>129424</v>
      </c>
      <c r="AC3" s="5">
        <v>129424</v>
      </c>
      <c r="AD3" s="5">
        <v>129424</v>
      </c>
      <c r="AE3" s="5">
        <v>129424</v>
      </c>
      <c r="AF3" s="5">
        <v>181584</v>
      </c>
      <c r="AG3" s="5">
        <v>181584</v>
      </c>
      <c r="AH3" s="5">
        <v>181584</v>
      </c>
      <c r="AI3" s="5">
        <v>181584</v>
      </c>
      <c r="AJ3" s="5">
        <v>181584</v>
      </c>
      <c r="AK3" s="5">
        <v>181584</v>
      </c>
      <c r="AL3" s="5">
        <v>181584</v>
      </c>
      <c r="AM3" s="5">
        <v>181584</v>
      </c>
      <c r="AN3" s="5">
        <v>181584</v>
      </c>
      <c r="AO3" s="5">
        <v>181584</v>
      </c>
      <c r="AP3" s="5">
        <v>181584</v>
      </c>
      <c r="AQ3" s="5">
        <v>181584</v>
      </c>
    </row>
    <row r="4" spans="1:43" x14ac:dyDescent="0.2">
      <c r="A4" s="4">
        <v>1970.2</v>
      </c>
      <c r="B4" s="5">
        <v>66761</v>
      </c>
      <c r="C4" s="54">
        <f t="shared" si="0"/>
        <v>66201.695000000007</v>
      </c>
      <c r="D4" s="5">
        <v>66764</v>
      </c>
      <c r="E4" s="5">
        <v>66532</v>
      </c>
      <c r="F4" s="54">
        <f t="shared" si="1"/>
        <v>66532</v>
      </c>
      <c r="G4" s="54">
        <f t="shared" si="1"/>
        <v>66532</v>
      </c>
      <c r="H4" s="5">
        <v>66532</v>
      </c>
      <c r="I4" s="5">
        <v>66532</v>
      </c>
      <c r="J4" s="5">
        <v>66532</v>
      </c>
      <c r="K4" s="5">
        <v>66532</v>
      </c>
      <c r="L4" s="54">
        <f t="shared" si="2"/>
        <v>66532</v>
      </c>
      <c r="M4" s="5">
        <v>130180</v>
      </c>
      <c r="N4" s="54">
        <f t="shared" si="3"/>
        <v>130180</v>
      </c>
      <c r="O4" s="5">
        <v>130180</v>
      </c>
      <c r="P4" s="5">
        <v>130180</v>
      </c>
      <c r="Q4" s="5">
        <v>130180</v>
      </c>
      <c r="R4" s="5">
        <v>130479</v>
      </c>
      <c r="S4" s="5">
        <v>130479</v>
      </c>
      <c r="T4" s="5">
        <v>130479</v>
      </c>
      <c r="U4" s="54">
        <f t="shared" si="4"/>
        <v>130479</v>
      </c>
      <c r="V4" s="5">
        <v>130479</v>
      </c>
      <c r="W4" s="5">
        <v>130479</v>
      </c>
      <c r="X4" s="5">
        <v>130479</v>
      </c>
      <c r="Y4" s="5">
        <v>130479</v>
      </c>
      <c r="Z4" s="5">
        <v>130479</v>
      </c>
      <c r="AA4" s="5">
        <v>130479</v>
      </c>
      <c r="AB4" s="5">
        <v>130479</v>
      </c>
      <c r="AC4" s="5">
        <v>130479</v>
      </c>
      <c r="AD4" s="5">
        <v>130479</v>
      </c>
      <c r="AE4" s="5">
        <v>130479</v>
      </c>
      <c r="AF4" s="5">
        <v>183654</v>
      </c>
      <c r="AG4" s="5">
        <v>183671</v>
      </c>
      <c r="AH4" s="5">
        <v>184060</v>
      </c>
      <c r="AI4" s="5">
        <v>184060</v>
      </c>
      <c r="AJ4" s="5">
        <v>184060</v>
      </c>
      <c r="AK4" s="5">
        <v>184060</v>
      </c>
      <c r="AL4" s="5">
        <v>184060</v>
      </c>
      <c r="AM4" s="5">
        <v>184060</v>
      </c>
      <c r="AN4" s="5">
        <v>184060</v>
      </c>
      <c r="AO4" s="5">
        <v>184060</v>
      </c>
      <c r="AP4" s="5">
        <v>184060</v>
      </c>
      <c r="AQ4" s="5">
        <v>184060</v>
      </c>
    </row>
    <row r="5" spans="1:43" x14ac:dyDescent="0.2">
      <c r="A5" s="4">
        <v>1970.3</v>
      </c>
      <c r="B5" s="5">
        <v>68060</v>
      </c>
      <c r="C5" s="54">
        <f t="shared" si="0"/>
        <v>67466.480800000005</v>
      </c>
      <c r="D5" s="5">
        <v>68016</v>
      </c>
      <c r="E5" s="5">
        <v>67465</v>
      </c>
      <c r="F5" s="54">
        <f t="shared" si="1"/>
        <v>67465</v>
      </c>
      <c r="G5" s="54">
        <f t="shared" si="1"/>
        <v>67465</v>
      </c>
      <c r="H5" s="5">
        <v>67465</v>
      </c>
      <c r="I5" s="5">
        <v>67465</v>
      </c>
      <c r="J5" s="5">
        <v>67465</v>
      </c>
      <c r="K5" s="5">
        <v>67465</v>
      </c>
      <c r="L5" s="54">
        <f t="shared" si="2"/>
        <v>67465</v>
      </c>
      <c r="M5" s="5">
        <v>132380</v>
      </c>
      <c r="N5" s="54">
        <f t="shared" si="3"/>
        <v>132380</v>
      </c>
      <c r="O5" s="5">
        <v>132380</v>
      </c>
      <c r="P5" s="5">
        <v>132380</v>
      </c>
      <c r="Q5" s="5">
        <v>132380</v>
      </c>
      <c r="R5" s="5">
        <v>132317</v>
      </c>
      <c r="S5" s="5">
        <v>132317</v>
      </c>
      <c r="T5" s="5">
        <v>132317</v>
      </c>
      <c r="U5" s="54">
        <f t="shared" si="4"/>
        <v>132317</v>
      </c>
      <c r="V5" s="5">
        <v>132317</v>
      </c>
      <c r="W5" s="5">
        <v>132317</v>
      </c>
      <c r="X5" s="5">
        <v>132317</v>
      </c>
      <c r="Y5" s="5">
        <v>132317</v>
      </c>
      <c r="Z5" s="5">
        <v>132317</v>
      </c>
      <c r="AA5" s="5">
        <v>132317</v>
      </c>
      <c r="AB5" s="5">
        <v>132317</v>
      </c>
      <c r="AC5" s="5">
        <v>132317</v>
      </c>
      <c r="AD5" s="5">
        <v>132317</v>
      </c>
      <c r="AE5" s="5">
        <v>132317</v>
      </c>
      <c r="AF5" s="5">
        <v>187333</v>
      </c>
      <c r="AG5" s="5">
        <v>187319</v>
      </c>
      <c r="AH5" s="5">
        <v>186705</v>
      </c>
      <c r="AI5" s="5">
        <v>186705</v>
      </c>
      <c r="AJ5" s="5">
        <v>186705</v>
      </c>
      <c r="AK5" s="5">
        <v>186705</v>
      </c>
      <c r="AL5" s="5">
        <v>186705</v>
      </c>
      <c r="AM5" s="5">
        <v>186705</v>
      </c>
      <c r="AN5" s="5">
        <v>186705</v>
      </c>
      <c r="AO5" s="5">
        <v>186705</v>
      </c>
      <c r="AP5" s="5">
        <v>186705</v>
      </c>
      <c r="AQ5" s="5">
        <v>186705</v>
      </c>
    </row>
    <row r="6" spans="1:43" x14ac:dyDescent="0.2">
      <c r="A6" s="4">
        <v>1970.4</v>
      </c>
      <c r="B6" s="5">
        <v>67024</v>
      </c>
      <c r="C6" s="54">
        <f t="shared" si="0"/>
        <v>66455.544600000008</v>
      </c>
      <c r="D6" s="5">
        <v>67013</v>
      </c>
      <c r="E6" s="5">
        <v>67588</v>
      </c>
      <c r="F6" s="54">
        <f t="shared" si="1"/>
        <v>67588</v>
      </c>
      <c r="G6" s="54">
        <f t="shared" si="1"/>
        <v>67588</v>
      </c>
      <c r="H6" s="5">
        <v>67588</v>
      </c>
      <c r="I6" s="5">
        <v>67588</v>
      </c>
      <c r="J6" s="5">
        <v>67588</v>
      </c>
      <c r="K6" s="5">
        <v>67588</v>
      </c>
      <c r="L6" s="54">
        <f t="shared" si="2"/>
        <v>67588</v>
      </c>
      <c r="M6" s="5">
        <v>132808</v>
      </c>
      <c r="N6" s="54">
        <f t="shared" si="3"/>
        <v>132808</v>
      </c>
      <c r="O6" s="5">
        <v>132808</v>
      </c>
      <c r="P6" s="5">
        <v>132808</v>
      </c>
      <c r="Q6" s="5">
        <v>132808</v>
      </c>
      <c r="R6" s="5">
        <v>132605</v>
      </c>
      <c r="S6" s="5">
        <v>132605</v>
      </c>
      <c r="T6" s="5">
        <v>132605</v>
      </c>
      <c r="U6" s="54">
        <f t="shared" si="4"/>
        <v>132605</v>
      </c>
      <c r="V6" s="5">
        <v>132605</v>
      </c>
      <c r="W6" s="5">
        <v>132605</v>
      </c>
      <c r="X6" s="5">
        <v>132605</v>
      </c>
      <c r="Y6" s="5">
        <v>132605</v>
      </c>
      <c r="Z6" s="5">
        <v>132605</v>
      </c>
      <c r="AA6" s="5">
        <v>132605</v>
      </c>
      <c r="AB6" s="5">
        <v>132605</v>
      </c>
      <c r="AC6" s="5">
        <v>132605</v>
      </c>
      <c r="AD6" s="5">
        <v>132605</v>
      </c>
      <c r="AE6" s="5">
        <v>132605</v>
      </c>
      <c r="AF6" s="5">
        <v>187153</v>
      </c>
      <c r="AG6" s="5">
        <v>187023</v>
      </c>
      <c r="AH6" s="5">
        <v>186066</v>
      </c>
      <c r="AI6" s="5">
        <v>186066</v>
      </c>
      <c r="AJ6" s="5">
        <v>186066</v>
      </c>
      <c r="AK6" s="5">
        <v>186066</v>
      </c>
      <c r="AL6" s="5">
        <v>186066</v>
      </c>
      <c r="AM6" s="5">
        <v>186066</v>
      </c>
      <c r="AN6" s="5">
        <v>186066</v>
      </c>
      <c r="AO6" s="5">
        <v>186066</v>
      </c>
      <c r="AP6" s="5">
        <v>186066</v>
      </c>
      <c r="AQ6" s="5">
        <v>186066</v>
      </c>
    </row>
    <row r="7" spans="1:43" x14ac:dyDescent="0.2">
      <c r="A7" s="4">
        <v>1971.1</v>
      </c>
      <c r="B7" s="5">
        <v>67094</v>
      </c>
      <c r="C7" s="54">
        <f t="shared" si="0"/>
        <v>66533.881000000008</v>
      </c>
      <c r="D7" s="5">
        <v>67101</v>
      </c>
      <c r="E7" s="5">
        <v>67654</v>
      </c>
      <c r="F7" s="54">
        <f t="shared" si="1"/>
        <v>67654</v>
      </c>
      <c r="G7" s="54">
        <f t="shared" si="1"/>
        <v>67654</v>
      </c>
      <c r="H7" s="5">
        <v>67654</v>
      </c>
      <c r="I7" s="5">
        <v>67654</v>
      </c>
      <c r="J7" s="5">
        <v>67654</v>
      </c>
      <c r="K7" s="5">
        <v>67654</v>
      </c>
      <c r="L7" s="54">
        <f t="shared" si="2"/>
        <v>67654</v>
      </c>
      <c r="M7" s="5">
        <v>132751</v>
      </c>
      <c r="N7" s="54">
        <f t="shared" si="3"/>
        <v>132751</v>
      </c>
      <c r="O7" s="5">
        <v>132918</v>
      </c>
      <c r="P7" s="5">
        <v>132918</v>
      </c>
      <c r="Q7" s="5">
        <v>132918</v>
      </c>
      <c r="R7" s="5">
        <v>132578</v>
      </c>
      <c r="S7" s="5">
        <v>132589</v>
      </c>
      <c r="T7" s="5">
        <v>132589</v>
      </c>
      <c r="U7" s="54">
        <f t="shared" si="4"/>
        <v>132589</v>
      </c>
      <c r="V7" s="5">
        <v>132589</v>
      </c>
      <c r="W7" s="5">
        <v>132589</v>
      </c>
      <c r="X7" s="5">
        <v>132589</v>
      </c>
      <c r="Y7" s="5">
        <v>132589</v>
      </c>
      <c r="Z7" s="5">
        <v>132589</v>
      </c>
      <c r="AA7" s="5">
        <v>132589</v>
      </c>
      <c r="AB7" s="5">
        <v>132589</v>
      </c>
      <c r="AC7" s="5">
        <v>132589</v>
      </c>
      <c r="AD7" s="5">
        <v>132589</v>
      </c>
      <c r="AE7" s="5">
        <v>132589</v>
      </c>
      <c r="AF7" s="5">
        <v>187184</v>
      </c>
      <c r="AG7" s="5">
        <v>186873</v>
      </c>
      <c r="AH7" s="5">
        <v>186657</v>
      </c>
      <c r="AI7" s="5">
        <v>186657</v>
      </c>
      <c r="AJ7" s="5">
        <v>186657</v>
      </c>
      <c r="AK7" s="5">
        <v>186657</v>
      </c>
      <c r="AL7" s="5">
        <v>186657</v>
      </c>
      <c r="AM7" s="5">
        <v>186657</v>
      </c>
      <c r="AN7" s="5">
        <v>186657</v>
      </c>
      <c r="AO7" s="5">
        <v>186657</v>
      </c>
      <c r="AP7" s="5">
        <v>186657</v>
      </c>
      <c r="AQ7" s="5">
        <v>186657</v>
      </c>
    </row>
    <row r="8" spans="1:43" x14ac:dyDescent="0.2">
      <c r="A8" s="4">
        <v>1971.2</v>
      </c>
      <c r="B8" s="5">
        <v>67382</v>
      </c>
      <c r="C8" s="54">
        <f t="shared" si="0"/>
        <v>66822.932400000005</v>
      </c>
      <c r="D8" s="5">
        <v>67396</v>
      </c>
      <c r="E8" s="5">
        <v>67472</v>
      </c>
      <c r="F8" s="54">
        <f t="shared" si="1"/>
        <v>67472</v>
      </c>
      <c r="G8" s="54">
        <f t="shared" si="1"/>
        <v>67472</v>
      </c>
      <c r="H8" s="5">
        <v>67472</v>
      </c>
      <c r="I8" s="5">
        <v>67472</v>
      </c>
      <c r="J8" s="5">
        <v>67472</v>
      </c>
      <c r="K8" s="5">
        <v>67472</v>
      </c>
      <c r="L8" s="54">
        <f t="shared" si="2"/>
        <v>67472</v>
      </c>
      <c r="M8" s="5">
        <v>132463</v>
      </c>
      <c r="N8" s="54">
        <f t="shared" si="3"/>
        <v>132463</v>
      </c>
      <c r="O8" s="5">
        <v>132414</v>
      </c>
      <c r="P8" s="5">
        <v>132414</v>
      </c>
      <c r="Q8" s="5">
        <v>132414</v>
      </c>
      <c r="R8" s="5">
        <v>132571</v>
      </c>
      <c r="S8" s="5">
        <v>132558</v>
      </c>
      <c r="T8" s="5">
        <v>132558</v>
      </c>
      <c r="U8" s="54">
        <f t="shared" si="4"/>
        <v>132558</v>
      </c>
      <c r="V8" s="5">
        <v>132558</v>
      </c>
      <c r="W8" s="5">
        <v>132558</v>
      </c>
      <c r="X8" s="5">
        <v>132558</v>
      </c>
      <c r="Y8" s="5">
        <v>132558</v>
      </c>
      <c r="Z8" s="5">
        <v>132558</v>
      </c>
      <c r="AA8" s="5">
        <v>132558</v>
      </c>
      <c r="AB8" s="5">
        <v>132558</v>
      </c>
      <c r="AC8" s="5">
        <v>132558</v>
      </c>
      <c r="AD8" s="5">
        <v>132558</v>
      </c>
      <c r="AE8" s="5">
        <v>132558</v>
      </c>
      <c r="AF8" s="5">
        <v>186623</v>
      </c>
      <c r="AG8" s="5">
        <v>186650</v>
      </c>
      <c r="AH8" s="5">
        <v>186728</v>
      </c>
      <c r="AI8" s="5">
        <v>186728</v>
      </c>
      <c r="AJ8" s="5">
        <v>186728</v>
      </c>
      <c r="AK8" s="5">
        <v>186728</v>
      </c>
      <c r="AL8" s="5">
        <v>186728</v>
      </c>
      <c r="AM8" s="5">
        <v>186728</v>
      </c>
      <c r="AN8" s="5">
        <v>186728</v>
      </c>
      <c r="AO8" s="5">
        <v>186728</v>
      </c>
      <c r="AP8" s="5">
        <v>186728</v>
      </c>
      <c r="AQ8" s="5">
        <v>186728</v>
      </c>
    </row>
    <row r="9" spans="1:43" x14ac:dyDescent="0.2">
      <c r="A9" s="4">
        <v>1971.3</v>
      </c>
      <c r="B9" s="5">
        <v>68305</v>
      </c>
      <c r="C9" s="54">
        <f t="shared" si="0"/>
        <v>67731.237999999998</v>
      </c>
      <c r="D9" s="5">
        <v>68305</v>
      </c>
      <c r="E9" s="5">
        <v>68096</v>
      </c>
      <c r="F9" s="54">
        <f t="shared" si="1"/>
        <v>68096</v>
      </c>
      <c r="G9" s="54">
        <f t="shared" si="1"/>
        <v>68096</v>
      </c>
      <c r="H9" s="5">
        <v>68096</v>
      </c>
      <c r="I9" s="5">
        <v>68096</v>
      </c>
      <c r="J9" s="5">
        <v>68096</v>
      </c>
      <c r="K9" s="5">
        <v>68096</v>
      </c>
      <c r="L9" s="54">
        <f t="shared" si="2"/>
        <v>68096</v>
      </c>
      <c r="M9" s="5">
        <v>133762</v>
      </c>
      <c r="N9" s="54">
        <f t="shared" si="3"/>
        <v>133762</v>
      </c>
      <c r="O9" s="5">
        <v>133686</v>
      </c>
      <c r="P9" s="5">
        <v>133686</v>
      </c>
      <c r="Q9" s="5">
        <v>133686</v>
      </c>
      <c r="R9" s="5">
        <v>133711</v>
      </c>
      <c r="S9" s="5">
        <v>133712</v>
      </c>
      <c r="T9" s="5">
        <v>133712</v>
      </c>
      <c r="U9" s="54">
        <f t="shared" si="4"/>
        <v>133712</v>
      </c>
      <c r="V9" s="5">
        <v>133712</v>
      </c>
      <c r="W9" s="5">
        <v>133712</v>
      </c>
      <c r="X9" s="5">
        <v>133712</v>
      </c>
      <c r="Y9" s="5">
        <v>133712</v>
      </c>
      <c r="Z9" s="5">
        <v>133712</v>
      </c>
      <c r="AA9" s="5">
        <v>133712</v>
      </c>
      <c r="AB9" s="5">
        <v>133712</v>
      </c>
      <c r="AC9" s="5">
        <v>133712</v>
      </c>
      <c r="AD9" s="5">
        <v>133712</v>
      </c>
      <c r="AE9" s="5">
        <v>133712</v>
      </c>
      <c r="AF9" s="5">
        <v>188255</v>
      </c>
      <c r="AG9" s="5">
        <v>188367</v>
      </c>
      <c r="AH9" s="5">
        <v>188689</v>
      </c>
      <c r="AI9" s="5">
        <v>188689</v>
      </c>
      <c r="AJ9" s="5">
        <v>188689</v>
      </c>
      <c r="AK9" s="5">
        <v>188689</v>
      </c>
      <c r="AL9" s="5">
        <v>188689</v>
      </c>
      <c r="AM9" s="5">
        <v>188689</v>
      </c>
      <c r="AN9" s="5">
        <v>188689</v>
      </c>
      <c r="AO9" s="5">
        <v>188689</v>
      </c>
      <c r="AP9" s="5">
        <v>188689</v>
      </c>
      <c r="AQ9" s="5">
        <v>188689</v>
      </c>
    </row>
    <row r="10" spans="1:43" x14ac:dyDescent="0.2">
      <c r="A10" s="4">
        <v>1971.4</v>
      </c>
      <c r="B10" s="5">
        <v>69311</v>
      </c>
      <c r="C10" s="54">
        <f t="shared" si="0"/>
        <v>68718.375800000009</v>
      </c>
      <c r="D10" s="5">
        <v>69290</v>
      </c>
      <c r="E10" s="5">
        <v>68870</v>
      </c>
      <c r="F10" s="54">
        <f t="shared" si="1"/>
        <v>68870</v>
      </c>
      <c r="G10" s="54">
        <f t="shared" si="1"/>
        <v>68870</v>
      </c>
      <c r="H10" s="5">
        <v>68870</v>
      </c>
      <c r="I10" s="5">
        <v>68870</v>
      </c>
      <c r="J10" s="5">
        <v>68870</v>
      </c>
      <c r="K10" s="5">
        <v>68870</v>
      </c>
      <c r="L10" s="54">
        <f t="shared" si="2"/>
        <v>68870</v>
      </c>
      <c r="M10" s="5">
        <v>135131</v>
      </c>
      <c r="N10" s="54">
        <f t="shared" si="3"/>
        <v>135131</v>
      </c>
      <c r="O10" s="5">
        <v>135090</v>
      </c>
      <c r="P10" s="5">
        <v>135090</v>
      </c>
      <c r="Q10" s="5">
        <v>135090</v>
      </c>
      <c r="R10" s="5">
        <v>135210</v>
      </c>
      <c r="S10" s="5">
        <v>135212</v>
      </c>
      <c r="T10" s="5">
        <v>135212</v>
      </c>
      <c r="U10" s="54">
        <f t="shared" si="4"/>
        <v>135212</v>
      </c>
      <c r="V10" s="5">
        <v>135212</v>
      </c>
      <c r="W10" s="5">
        <v>135212</v>
      </c>
      <c r="X10" s="5">
        <v>135212</v>
      </c>
      <c r="Y10" s="5">
        <v>135212</v>
      </c>
      <c r="Z10" s="5">
        <v>135212</v>
      </c>
      <c r="AA10" s="5">
        <v>135212</v>
      </c>
      <c r="AB10" s="5">
        <v>135212</v>
      </c>
      <c r="AC10" s="5">
        <v>135212</v>
      </c>
      <c r="AD10" s="5">
        <v>135212</v>
      </c>
      <c r="AE10" s="5">
        <v>135212</v>
      </c>
      <c r="AF10" s="5">
        <v>190340</v>
      </c>
      <c r="AG10" s="5">
        <v>190512</v>
      </c>
      <c r="AH10" s="5">
        <v>190328</v>
      </c>
      <c r="AI10" s="5">
        <v>190328</v>
      </c>
      <c r="AJ10" s="5">
        <v>190328</v>
      </c>
      <c r="AK10" s="5">
        <v>190328</v>
      </c>
      <c r="AL10" s="5">
        <v>190328</v>
      </c>
      <c r="AM10" s="5">
        <v>190328</v>
      </c>
      <c r="AN10" s="5">
        <v>190328</v>
      </c>
      <c r="AO10" s="5">
        <v>190328</v>
      </c>
      <c r="AP10" s="5">
        <v>190328</v>
      </c>
      <c r="AQ10" s="5">
        <v>190328</v>
      </c>
    </row>
    <row r="11" spans="1:43" x14ac:dyDescent="0.2">
      <c r="A11" s="4">
        <v>1972.1</v>
      </c>
      <c r="B11" s="5">
        <v>70012</v>
      </c>
      <c r="C11" s="54">
        <f t="shared" si="0"/>
        <v>69407.042000000001</v>
      </c>
      <c r="D11" s="5">
        <v>69978</v>
      </c>
      <c r="E11" s="5">
        <v>69737</v>
      </c>
      <c r="F11" s="54">
        <f t="shared" si="1"/>
        <v>69737</v>
      </c>
      <c r="G11" s="54">
        <f t="shared" si="1"/>
        <v>69737</v>
      </c>
      <c r="H11" s="5">
        <v>69737</v>
      </c>
      <c r="I11" s="5">
        <v>69737</v>
      </c>
      <c r="J11" s="5">
        <v>69737</v>
      </c>
      <c r="K11" s="5">
        <v>69737</v>
      </c>
      <c r="L11" s="54">
        <f t="shared" si="2"/>
        <v>69737</v>
      </c>
      <c r="M11" s="5">
        <v>136887</v>
      </c>
      <c r="N11" s="54">
        <f t="shared" si="3"/>
        <v>136887</v>
      </c>
      <c r="O11" s="5">
        <v>136774</v>
      </c>
      <c r="P11" s="5">
        <v>136774</v>
      </c>
      <c r="Q11" s="5">
        <v>136774</v>
      </c>
      <c r="R11" s="5">
        <v>136925</v>
      </c>
      <c r="S11" s="5">
        <v>136921</v>
      </c>
      <c r="T11" s="5">
        <v>136921</v>
      </c>
      <c r="U11" s="54">
        <f t="shared" si="4"/>
        <v>136921</v>
      </c>
      <c r="V11" s="5">
        <v>136921</v>
      </c>
      <c r="W11" s="5">
        <v>136921</v>
      </c>
      <c r="X11" s="5">
        <v>136921</v>
      </c>
      <c r="Y11" s="5">
        <v>136921</v>
      </c>
      <c r="Z11" s="5">
        <v>136921</v>
      </c>
      <c r="AA11" s="5">
        <v>136921</v>
      </c>
      <c r="AB11" s="5">
        <v>136921</v>
      </c>
      <c r="AC11" s="5">
        <v>136921</v>
      </c>
      <c r="AD11" s="5">
        <v>136921</v>
      </c>
      <c r="AE11" s="5">
        <v>136921</v>
      </c>
      <c r="AF11" s="5">
        <v>193026</v>
      </c>
      <c r="AG11" s="5">
        <v>192803</v>
      </c>
      <c r="AH11" s="5">
        <v>192961</v>
      </c>
      <c r="AI11" s="5">
        <v>192961</v>
      </c>
      <c r="AJ11" s="5">
        <v>192961</v>
      </c>
      <c r="AK11" s="5">
        <v>192961</v>
      </c>
      <c r="AL11" s="5">
        <v>192961</v>
      </c>
      <c r="AM11" s="5">
        <v>192961</v>
      </c>
      <c r="AN11" s="5">
        <v>192961</v>
      </c>
      <c r="AO11" s="5">
        <v>192961</v>
      </c>
      <c r="AP11" s="5">
        <v>192961</v>
      </c>
      <c r="AQ11" s="5">
        <v>192961</v>
      </c>
    </row>
    <row r="12" spans="1:43" x14ac:dyDescent="0.2">
      <c r="A12" s="4">
        <v>1972.2</v>
      </c>
      <c r="B12" s="5">
        <v>68799</v>
      </c>
      <c r="C12" s="54">
        <f t="shared" si="0"/>
        <v>68228.525399999999</v>
      </c>
      <c r="D12" s="5">
        <v>68814</v>
      </c>
      <c r="E12" s="5">
        <v>69066</v>
      </c>
      <c r="F12" s="54">
        <f t="shared" si="1"/>
        <v>69066</v>
      </c>
      <c r="G12" s="54">
        <f t="shared" si="1"/>
        <v>69066</v>
      </c>
      <c r="H12" s="5">
        <v>69066</v>
      </c>
      <c r="I12" s="5">
        <v>69066</v>
      </c>
      <c r="J12" s="5">
        <v>69066</v>
      </c>
      <c r="K12" s="5">
        <v>69066</v>
      </c>
      <c r="L12" s="54">
        <f t="shared" si="2"/>
        <v>69066</v>
      </c>
      <c r="M12" s="5">
        <v>135748</v>
      </c>
      <c r="N12" s="54">
        <f t="shared" si="3"/>
        <v>135748</v>
      </c>
      <c r="O12" s="5">
        <v>135779</v>
      </c>
      <c r="P12" s="5">
        <v>135779</v>
      </c>
      <c r="Q12" s="5">
        <v>135779</v>
      </c>
      <c r="R12" s="5">
        <v>135609</v>
      </c>
      <c r="S12" s="5">
        <v>135618</v>
      </c>
      <c r="T12" s="5">
        <v>135618</v>
      </c>
      <c r="U12" s="54">
        <f t="shared" si="4"/>
        <v>135618</v>
      </c>
      <c r="V12" s="5">
        <v>135618</v>
      </c>
      <c r="W12" s="5">
        <v>135618</v>
      </c>
      <c r="X12" s="5">
        <v>135618</v>
      </c>
      <c r="Y12" s="5">
        <v>135618</v>
      </c>
      <c r="Z12" s="5">
        <v>135618</v>
      </c>
      <c r="AA12" s="5">
        <v>135618</v>
      </c>
      <c r="AB12" s="5">
        <v>135618</v>
      </c>
      <c r="AC12" s="5">
        <v>135618</v>
      </c>
      <c r="AD12" s="5">
        <v>135618</v>
      </c>
      <c r="AE12" s="5">
        <v>135618</v>
      </c>
      <c r="AF12" s="5">
        <v>191651</v>
      </c>
      <c r="AG12" s="5">
        <v>191947</v>
      </c>
      <c r="AH12" s="5">
        <v>192295</v>
      </c>
      <c r="AI12" s="5">
        <v>192295</v>
      </c>
      <c r="AJ12" s="5">
        <v>192295</v>
      </c>
      <c r="AK12" s="5">
        <v>192295</v>
      </c>
      <c r="AL12" s="5">
        <v>192295</v>
      </c>
      <c r="AM12" s="5">
        <v>192295</v>
      </c>
      <c r="AN12" s="5">
        <v>192295</v>
      </c>
      <c r="AO12" s="5">
        <v>192295</v>
      </c>
      <c r="AP12" s="5">
        <v>192295</v>
      </c>
      <c r="AQ12" s="5">
        <v>192295</v>
      </c>
    </row>
    <row r="13" spans="1:43" x14ac:dyDescent="0.2">
      <c r="A13" s="4">
        <v>1972.3</v>
      </c>
      <c r="B13" s="5">
        <v>69250</v>
      </c>
      <c r="C13" s="54">
        <f t="shared" si="0"/>
        <v>68680.695000000007</v>
      </c>
      <c r="D13" s="5">
        <v>69275</v>
      </c>
      <c r="E13" s="5">
        <v>69766</v>
      </c>
      <c r="F13" s="54">
        <f t="shared" si="1"/>
        <v>69766</v>
      </c>
      <c r="G13" s="54">
        <f t="shared" si="1"/>
        <v>69766</v>
      </c>
      <c r="H13" s="5">
        <v>69766</v>
      </c>
      <c r="I13" s="5">
        <v>69766</v>
      </c>
      <c r="J13" s="5">
        <v>69766</v>
      </c>
      <c r="K13" s="5">
        <v>69766</v>
      </c>
      <c r="L13" s="54">
        <f t="shared" si="2"/>
        <v>69766</v>
      </c>
      <c r="M13" s="5">
        <v>137352</v>
      </c>
      <c r="N13" s="54">
        <f t="shared" si="3"/>
        <v>137352</v>
      </c>
      <c r="O13" s="5">
        <v>137388</v>
      </c>
      <c r="P13" s="5">
        <v>137388</v>
      </c>
      <c r="Q13" s="5">
        <v>137388</v>
      </c>
      <c r="R13" s="5">
        <v>137206</v>
      </c>
      <c r="S13" s="5">
        <v>137217</v>
      </c>
      <c r="T13" s="5">
        <v>137217</v>
      </c>
      <c r="U13" s="54">
        <f t="shared" si="4"/>
        <v>137217</v>
      </c>
      <c r="V13" s="5">
        <v>137217</v>
      </c>
      <c r="W13" s="5">
        <v>137217</v>
      </c>
      <c r="X13" s="5">
        <v>137217</v>
      </c>
      <c r="Y13" s="5">
        <v>137217</v>
      </c>
      <c r="Z13" s="5">
        <v>137217</v>
      </c>
      <c r="AA13" s="5">
        <v>137217</v>
      </c>
      <c r="AB13" s="5">
        <v>137217</v>
      </c>
      <c r="AC13" s="5">
        <v>137217</v>
      </c>
      <c r="AD13" s="5">
        <v>137217</v>
      </c>
      <c r="AE13" s="5">
        <v>137217</v>
      </c>
      <c r="AF13" s="5">
        <v>193755</v>
      </c>
      <c r="AG13" s="5">
        <v>193436</v>
      </c>
      <c r="AH13" s="5">
        <v>193616</v>
      </c>
      <c r="AI13" s="5">
        <v>193616</v>
      </c>
      <c r="AJ13" s="5">
        <v>193616</v>
      </c>
      <c r="AK13" s="5">
        <v>193616</v>
      </c>
      <c r="AL13" s="5">
        <v>193616</v>
      </c>
      <c r="AM13" s="5">
        <v>193616</v>
      </c>
      <c r="AN13" s="5">
        <v>193616</v>
      </c>
      <c r="AO13" s="5">
        <v>193616</v>
      </c>
      <c r="AP13" s="5">
        <v>193616</v>
      </c>
      <c r="AQ13" s="5">
        <v>193616</v>
      </c>
    </row>
    <row r="14" spans="1:43" x14ac:dyDescent="0.2">
      <c r="A14" s="4">
        <v>1972.4</v>
      </c>
      <c r="B14" s="5">
        <v>71375</v>
      </c>
      <c r="C14" s="54">
        <f t="shared" si="0"/>
        <v>70772.971000000005</v>
      </c>
      <c r="D14" s="5">
        <v>71370</v>
      </c>
      <c r="E14" s="5">
        <v>70868</v>
      </c>
      <c r="F14" s="54">
        <f t="shared" si="1"/>
        <v>70868</v>
      </c>
      <c r="G14" s="54">
        <f t="shared" si="1"/>
        <v>70868</v>
      </c>
      <c r="H14" s="5">
        <v>70868</v>
      </c>
      <c r="I14" s="5">
        <v>70868</v>
      </c>
      <c r="J14" s="5">
        <v>70868</v>
      </c>
      <c r="K14" s="5">
        <v>70868</v>
      </c>
      <c r="L14" s="54">
        <f t="shared" si="2"/>
        <v>70868</v>
      </c>
      <c r="M14" s="5">
        <v>139205</v>
      </c>
      <c r="N14" s="54">
        <f t="shared" si="3"/>
        <v>139205</v>
      </c>
      <c r="O14" s="5">
        <v>139251</v>
      </c>
      <c r="P14" s="5">
        <v>139251</v>
      </c>
      <c r="Q14" s="5">
        <v>139251</v>
      </c>
      <c r="R14" s="5">
        <v>139208</v>
      </c>
      <c r="S14" s="5">
        <v>139192</v>
      </c>
      <c r="T14" s="5">
        <v>139192</v>
      </c>
      <c r="U14" s="54">
        <f t="shared" si="4"/>
        <v>139192</v>
      </c>
      <c r="V14" s="5">
        <v>139192</v>
      </c>
      <c r="W14" s="5">
        <v>139192</v>
      </c>
      <c r="X14" s="5">
        <v>139192</v>
      </c>
      <c r="Y14" s="5">
        <v>139192</v>
      </c>
      <c r="Z14" s="5">
        <v>139192</v>
      </c>
      <c r="AA14" s="5">
        <v>139192</v>
      </c>
      <c r="AB14" s="5">
        <v>139192</v>
      </c>
      <c r="AC14" s="5">
        <v>139192</v>
      </c>
      <c r="AD14" s="5">
        <v>139192</v>
      </c>
      <c r="AE14" s="5">
        <v>139192</v>
      </c>
      <c r="AF14" s="5">
        <v>195986</v>
      </c>
      <c r="AG14" s="5">
        <v>196232</v>
      </c>
      <c r="AH14" s="5">
        <v>195546</v>
      </c>
      <c r="AI14" s="5">
        <v>195546</v>
      </c>
      <c r="AJ14" s="5">
        <v>195546</v>
      </c>
      <c r="AK14" s="5">
        <v>195546</v>
      </c>
      <c r="AL14" s="5">
        <v>195546</v>
      </c>
      <c r="AM14" s="5">
        <v>195546</v>
      </c>
      <c r="AN14" s="5">
        <v>195546</v>
      </c>
      <c r="AO14" s="5">
        <v>195546</v>
      </c>
      <c r="AP14" s="5">
        <v>195546</v>
      </c>
      <c r="AQ14" s="5">
        <v>195546</v>
      </c>
    </row>
    <row r="15" spans="1:43" x14ac:dyDescent="0.2">
      <c r="A15" s="4">
        <v>1973.1</v>
      </c>
      <c r="B15" s="5">
        <v>70811</v>
      </c>
      <c r="C15" s="54">
        <f t="shared" si="0"/>
        <v>70242.464999999997</v>
      </c>
      <c r="D15" s="5">
        <v>70864</v>
      </c>
      <c r="E15" s="5">
        <v>71726</v>
      </c>
      <c r="F15" s="54">
        <f t="shared" si="1"/>
        <v>71726</v>
      </c>
      <c r="G15" s="54">
        <f t="shared" si="1"/>
        <v>71726</v>
      </c>
      <c r="H15" s="5">
        <v>71726</v>
      </c>
      <c r="I15" s="5">
        <v>71726</v>
      </c>
      <c r="J15" s="5">
        <v>71726</v>
      </c>
      <c r="K15" s="5">
        <v>71726</v>
      </c>
      <c r="L15" s="54">
        <f t="shared" si="2"/>
        <v>71726</v>
      </c>
      <c r="M15" s="5">
        <v>140601</v>
      </c>
      <c r="N15" s="54">
        <f t="shared" si="3"/>
        <v>140601</v>
      </c>
      <c r="O15" s="5">
        <v>140558</v>
      </c>
      <c r="P15" s="5">
        <v>140558</v>
      </c>
      <c r="Q15" s="5">
        <v>140558</v>
      </c>
      <c r="R15" s="5">
        <v>140675</v>
      </c>
      <c r="S15" s="5">
        <v>140733</v>
      </c>
      <c r="T15" s="5">
        <v>140733</v>
      </c>
      <c r="U15" s="54">
        <f t="shared" si="4"/>
        <v>140733</v>
      </c>
      <c r="V15" s="5">
        <v>140733</v>
      </c>
      <c r="W15" s="5">
        <v>140733</v>
      </c>
      <c r="X15" s="5">
        <v>140733</v>
      </c>
      <c r="Y15" s="5">
        <v>140733</v>
      </c>
      <c r="Z15" s="5">
        <v>140733</v>
      </c>
      <c r="AA15" s="5">
        <v>140733</v>
      </c>
      <c r="AB15" s="5">
        <v>140733</v>
      </c>
      <c r="AC15" s="5">
        <v>140733</v>
      </c>
      <c r="AD15" s="5">
        <v>140733</v>
      </c>
      <c r="AE15" s="5">
        <v>140733</v>
      </c>
      <c r="AF15" s="5">
        <v>198724</v>
      </c>
      <c r="AG15" s="5">
        <v>198616</v>
      </c>
      <c r="AH15" s="5">
        <v>198032</v>
      </c>
      <c r="AI15" s="5">
        <v>198032</v>
      </c>
      <c r="AJ15" s="5">
        <v>198032</v>
      </c>
      <c r="AK15" s="5">
        <v>198032</v>
      </c>
      <c r="AL15" s="5">
        <v>198032</v>
      </c>
      <c r="AM15" s="5">
        <v>198032</v>
      </c>
      <c r="AN15" s="5">
        <v>198032</v>
      </c>
      <c r="AO15" s="5">
        <v>198032</v>
      </c>
      <c r="AP15" s="5">
        <v>198032</v>
      </c>
      <c r="AQ15" s="5">
        <v>198032</v>
      </c>
    </row>
    <row r="16" spans="1:43" x14ac:dyDescent="0.2">
      <c r="A16" s="4">
        <v>1973.2</v>
      </c>
      <c r="B16" s="5">
        <v>73700</v>
      </c>
      <c r="C16" s="54">
        <f t="shared" si="0"/>
        <v>73086.869600000005</v>
      </c>
      <c r="D16" s="5">
        <v>73712</v>
      </c>
      <c r="E16" s="5">
        <v>73690</v>
      </c>
      <c r="F16" s="54">
        <f t="shared" si="1"/>
        <v>73690</v>
      </c>
      <c r="G16" s="54">
        <f t="shared" si="1"/>
        <v>73690</v>
      </c>
      <c r="H16" s="5">
        <v>73690</v>
      </c>
      <c r="I16" s="5">
        <v>73690</v>
      </c>
      <c r="J16" s="5">
        <v>73690</v>
      </c>
      <c r="K16" s="5">
        <v>73690</v>
      </c>
      <c r="L16" s="54">
        <f t="shared" si="2"/>
        <v>73690</v>
      </c>
      <c r="M16" s="5">
        <v>144753</v>
      </c>
      <c r="N16" s="54">
        <f t="shared" si="3"/>
        <v>144753</v>
      </c>
      <c r="O16" s="5">
        <v>144810</v>
      </c>
      <c r="P16" s="5">
        <v>144810</v>
      </c>
      <c r="Q16" s="5">
        <v>144810</v>
      </c>
      <c r="R16" s="5">
        <v>144604</v>
      </c>
      <c r="S16" s="5">
        <v>144606</v>
      </c>
      <c r="T16" s="5">
        <v>144606</v>
      </c>
      <c r="U16" s="54">
        <f t="shared" si="4"/>
        <v>144606</v>
      </c>
      <c r="V16" s="5">
        <v>144606</v>
      </c>
      <c r="W16" s="5">
        <v>144606</v>
      </c>
      <c r="X16" s="5">
        <v>144606</v>
      </c>
      <c r="Y16" s="5">
        <v>144606</v>
      </c>
      <c r="Z16" s="5">
        <v>144606</v>
      </c>
      <c r="AA16" s="5">
        <v>144606</v>
      </c>
      <c r="AB16" s="5">
        <v>144606</v>
      </c>
      <c r="AC16" s="5">
        <v>144606</v>
      </c>
      <c r="AD16" s="5">
        <v>144606</v>
      </c>
      <c r="AE16" s="5">
        <v>144606</v>
      </c>
      <c r="AF16" s="5">
        <v>204045</v>
      </c>
      <c r="AG16" s="5">
        <v>204545</v>
      </c>
      <c r="AH16" s="5">
        <v>203278</v>
      </c>
      <c r="AI16" s="5">
        <v>203278</v>
      </c>
      <c r="AJ16" s="5">
        <v>203278</v>
      </c>
      <c r="AK16" s="5">
        <v>203278</v>
      </c>
      <c r="AL16" s="5">
        <v>203278</v>
      </c>
      <c r="AM16" s="5">
        <v>203278</v>
      </c>
      <c r="AN16" s="5">
        <v>203278</v>
      </c>
      <c r="AO16" s="5">
        <v>203278</v>
      </c>
      <c r="AP16" s="5">
        <v>203278</v>
      </c>
      <c r="AQ16" s="5">
        <v>203278</v>
      </c>
    </row>
    <row r="17" spans="1:43" x14ac:dyDescent="0.2">
      <c r="A17" s="4">
        <v>1973.3</v>
      </c>
      <c r="B17" s="5">
        <v>76555</v>
      </c>
      <c r="C17" s="54">
        <f t="shared" si="0"/>
        <v>75897.559800000003</v>
      </c>
      <c r="D17" s="5">
        <v>76526</v>
      </c>
      <c r="E17" s="5">
        <v>76258</v>
      </c>
      <c r="F17" s="54">
        <f t="shared" si="1"/>
        <v>76258</v>
      </c>
      <c r="G17" s="54">
        <f t="shared" si="1"/>
        <v>76258</v>
      </c>
      <c r="H17" s="5">
        <v>76258</v>
      </c>
      <c r="I17" s="5">
        <v>76258</v>
      </c>
      <c r="J17" s="5">
        <v>76258</v>
      </c>
      <c r="K17" s="5">
        <v>76258</v>
      </c>
      <c r="L17" s="54">
        <f t="shared" si="2"/>
        <v>76258</v>
      </c>
      <c r="M17" s="5">
        <v>149569</v>
      </c>
      <c r="N17" s="54">
        <f t="shared" si="3"/>
        <v>149569</v>
      </c>
      <c r="O17" s="5">
        <v>149496</v>
      </c>
      <c r="P17" s="5">
        <v>149496</v>
      </c>
      <c r="Q17" s="5">
        <v>149496</v>
      </c>
      <c r="R17" s="5">
        <v>149410</v>
      </c>
      <c r="S17" s="5">
        <v>149397</v>
      </c>
      <c r="T17" s="5">
        <v>149397</v>
      </c>
      <c r="U17" s="54">
        <f t="shared" si="4"/>
        <v>149397</v>
      </c>
      <c r="V17" s="5">
        <v>149397</v>
      </c>
      <c r="W17" s="5">
        <v>149397</v>
      </c>
      <c r="X17" s="5">
        <v>149397</v>
      </c>
      <c r="Y17" s="5">
        <v>149397</v>
      </c>
      <c r="Z17" s="5">
        <v>149397</v>
      </c>
      <c r="AA17" s="5">
        <v>149397</v>
      </c>
      <c r="AB17" s="5">
        <v>149397</v>
      </c>
      <c r="AC17" s="5">
        <v>149397</v>
      </c>
      <c r="AD17" s="5">
        <v>149397</v>
      </c>
      <c r="AE17" s="5">
        <v>149397</v>
      </c>
      <c r="AF17" s="5">
        <v>209624</v>
      </c>
      <c r="AG17" s="5">
        <v>208751</v>
      </c>
      <c r="AH17" s="5">
        <v>210241</v>
      </c>
      <c r="AI17" s="5">
        <v>210241</v>
      </c>
      <c r="AJ17" s="5">
        <v>210241</v>
      </c>
      <c r="AK17" s="5">
        <v>210241</v>
      </c>
      <c r="AL17" s="5">
        <v>210241</v>
      </c>
      <c r="AM17" s="5">
        <v>210241</v>
      </c>
      <c r="AN17" s="5">
        <v>210241</v>
      </c>
      <c r="AO17" s="5">
        <v>210241</v>
      </c>
      <c r="AP17" s="5">
        <v>210241</v>
      </c>
      <c r="AQ17" s="5">
        <v>210241</v>
      </c>
    </row>
    <row r="18" spans="1:43" x14ac:dyDescent="0.2">
      <c r="A18" s="4">
        <v>1973.4</v>
      </c>
      <c r="B18" s="5">
        <v>78236</v>
      </c>
      <c r="C18" s="54">
        <f t="shared" si="0"/>
        <v>77561.464600000007</v>
      </c>
      <c r="D18" s="5">
        <v>78201</v>
      </c>
      <c r="E18" s="5">
        <v>77628</v>
      </c>
      <c r="F18" s="54">
        <f t="shared" si="1"/>
        <v>77628</v>
      </c>
      <c r="G18" s="54">
        <f t="shared" si="1"/>
        <v>77628</v>
      </c>
      <c r="H18" s="5">
        <v>77628</v>
      </c>
      <c r="I18" s="5">
        <v>77628</v>
      </c>
      <c r="J18" s="5">
        <v>77628</v>
      </c>
      <c r="K18" s="5">
        <v>77628</v>
      </c>
      <c r="L18" s="54">
        <f t="shared" si="2"/>
        <v>77628</v>
      </c>
      <c r="M18" s="5">
        <v>151739</v>
      </c>
      <c r="N18" s="54">
        <f t="shared" si="3"/>
        <v>151739</v>
      </c>
      <c r="O18" s="5">
        <v>151797</v>
      </c>
      <c r="P18" s="5">
        <v>151797</v>
      </c>
      <c r="Q18" s="5">
        <v>151797</v>
      </c>
      <c r="R18" s="5">
        <v>151970</v>
      </c>
      <c r="S18" s="5">
        <v>151924</v>
      </c>
      <c r="T18" s="5">
        <v>151924</v>
      </c>
      <c r="U18" s="54">
        <f t="shared" si="4"/>
        <v>151924</v>
      </c>
      <c r="V18" s="5">
        <v>151924</v>
      </c>
      <c r="W18" s="5">
        <v>151924</v>
      </c>
      <c r="X18" s="5">
        <v>151924</v>
      </c>
      <c r="Y18" s="5">
        <v>151924</v>
      </c>
      <c r="Z18" s="5">
        <v>151924</v>
      </c>
      <c r="AA18" s="5">
        <v>151924</v>
      </c>
      <c r="AB18" s="5">
        <v>151924</v>
      </c>
      <c r="AC18" s="5">
        <v>151924</v>
      </c>
      <c r="AD18" s="5">
        <v>151924</v>
      </c>
      <c r="AE18" s="5">
        <v>151924</v>
      </c>
      <c r="AF18" s="5">
        <v>212687</v>
      </c>
      <c r="AG18" s="5">
        <v>213167</v>
      </c>
      <c r="AH18" s="5">
        <v>213528</v>
      </c>
      <c r="AI18" s="5">
        <v>213528</v>
      </c>
      <c r="AJ18" s="5">
        <v>213528</v>
      </c>
      <c r="AK18" s="5">
        <v>213528</v>
      </c>
      <c r="AL18" s="5">
        <v>213528</v>
      </c>
      <c r="AM18" s="5">
        <v>213528</v>
      </c>
      <c r="AN18" s="5">
        <v>213528</v>
      </c>
      <c r="AO18" s="5">
        <v>213528</v>
      </c>
      <c r="AP18" s="5">
        <v>213528</v>
      </c>
      <c r="AQ18" s="5">
        <v>213528</v>
      </c>
    </row>
    <row r="19" spans="1:43" x14ac:dyDescent="0.2">
      <c r="A19" s="4">
        <v>1974.1</v>
      </c>
      <c r="B19" s="5">
        <v>79171</v>
      </c>
      <c r="C19" s="54">
        <f t="shared" si="0"/>
        <v>78497.039199999999</v>
      </c>
      <c r="D19" s="5">
        <v>79153</v>
      </c>
      <c r="E19" s="5">
        <v>79158</v>
      </c>
      <c r="F19" s="54">
        <f t="shared" ref="F19:G34" si="5">E19</f>
        <v>79158</v>
      </c>
      <c r="G19" s="54">
        <f t="shared" si="5"/>
        <v>79158</v>
      </c>
      <c r="H19" s="5">
        <v>79158</v>
      </c>
      <c r="I19" s="5">
        <v>79158</v>
      </c>
      <c r="J19" s="5">
        <v>79158</v>
      </c>
      <c r="K19" s="5">
        <v>79158</v>
      </c>
      <c r="L19" s="54">
        <f t="shared" si="2"/>
        <v>79158</v>
      </c>
      <c r="M19" s="5">
        <v>155308</v>
      </c>
      <c r="N19" s="54">
        <f t="shared" si="3"/>
        <v>155308</v>
      </c>
      <c r="O19" s="5">
        <v>155271</v>
      </c>
      <c r="P19" s="5">
        <v>155271</v>
      </c>
      <c r="Q19" s="5">
        <v>155271</v>
      </c>
      <c r="R19" s="5">
        <v>155255</v>
      </c>
      <c r="S19" s="5">
        <v>155245</v>
      </c>
      <c r="T19" s="5">
        <v>155245</v>
      </c>
      <c r="U19" s="54">
        <f t="shared" si="4"/>
        <v>155245</v>
      </c>
      <c r="V19" s="5">
        <v>155245</v>
      </c>
      <c r="W19" s="5">
        <v>155245</v>
      </c>
      <c r="X19" s="5">
        <v>155245</v>
      </c>
      <c r="Y19" s="5">
        <v>155245</v>
      </c>
      <c r="Z19" s="5">
        <v>155245</v>
      </c>
      <c r="AA19" s="5">
        <v>155245</v>
      </c>
      <c r="AB19" s="5">
        <v>155245</v>
      </c>
      <c r="AC19" s="5">
        <v>155245</v>
      </c>
      <c r="AD19" s="5">
        <v>155245</v>
      </c>
      <c r="AE19" s="5">
        <v>155245</v>
      </c>
      <c r="AF19" s="5">
        <v>216354</v>
      </c>
      <c r="AG19" s="5">
        <v>216474</v>
      </c>
      <c r="AH19" s="5">
        <v>217495</v>
      </c>
      <c r="AI19" s="5">
        <v>217495</v>
      </c>
      <c r="AJ19" s="5">
        <v>217495</v>
      </c>
      <c r="AK19" s="5">
        <v>217495</v>
      </c>
      <c r="AL19" s="5">
        <v>217495</v>
      </c>
      <c r="AM19" s="5">
        <v>217495</v>
      </c>
      <c r="AN19" s="5">
        <v>217495</v>
      </c>
      <c r="AO19" s="5">
        <v>217495</v>
      </c>
      <c r="AP19" s="5">
        <v>217495</v>
      </c>
      <c r="AQ19" s="5">
        <v>217495</v>
      </c>
    </row>
    <row r="20" spans="1:43" x14ac:dyDescent="0.2">
      <c r="A20" s="4">
        <v>1974.2</v>
      </c>
      <c r="B20" s="5">
        <v>79752</v>
      </c>
      <c r="C20" s="54">
        <f t="shared" si="0"/>
        <v>79075.637799999997</v>
      </c>
      <c r="D20" s="5">
        <v>79739</v>
      </c>
      <c r="E20" s="5">
        <v>79701</v>
      </c>
      <c r="F20" s="54">
        <f t="shared" si="5"/>
        <v>79701</v>
      </c>
      <c r="G20" s="54">
        <f t="shared" si="5"/>
        <v>79701</v>
      </c>
      <c r="H20" s="5">
        <v>79701</v>
      </c>
      <c r="I20" s="5">
        <v>79701</v>
      </c>
      <c r="J20" s="5">
        <v>79701</v>
      </c>
      <c r="K20" s="5">
        <v>79701</v>
      </c>
      <c r="L20" s="54">
        <f t="shared" si="2"/>
        <v>79701</v>
      </c>
      <c r="M20" s="5">
        <v>155525</v>
      </c>
      <c r="N20" s="54">
        <f t="shared" si="3"/>
        <v>155525</v>
      </c>
      <c r="O20" s="5">
        <v>155499</v>
      </c>
      <c r="P20" s="5">
        <v>155499</v>
      </c>
      <c r="Q20" s="5">
        <v>155499</v>
      </c>
      <c r="R20" s="5">
        <v>155529</v>
      </c>
      <c r="S20" s="5">
        <v>155513</v>
      </c>
      <c r="T20" s="5">
        <v>155513</v>
      </c>
      <c r="U20" s="54">
        <f t="shared" si="4"/>
        <v>155513</v>
      </c>
      <c r="V20" s="5">
        <v>155513</v>
      </c>
      <c r="W20" s="5">
        <v>155513</v>
      </c>
      <c r="X20" s="5">
        <v>155513</v>
      </c>
      <c r="Y20" s="5">
        <v>155513</v>
      </c>
      <c r="Z20" s="5">
        <v>155513</v>
      </c>
      <c r="AA20" s="5">
        <v>155513</v>
      </c>
      <c r="AB20" s="5">
        <v>155513</v>
      </c>
      <c r="AC20" s="5">
        <v>155513</v>
      </c>
      <c r="AD20" s="5">
        <v>155513</v>
      </c>
      <c r="AE20" s="5">
        <v>155513</v>
      </c>
      <c r="AF20" s="5">
        <v>217440</v>
      </c>
      <c r="AG20" s="5">
        <v>217569</v>
      </c>
      <c r="AH20" s="5">
        <v>217637</v>
      </c>
      <c r="AI20" s="5">
        <v>217637</v>
      </c>
      <c r="AJ20" s="5">
        <v>217637</v>
      </c>
      <c r="AK20" s="5">
        <v>217637</v>
      </c>
      <c r="AL20" s="5">
        <v>217637</v>
      </c>
      <c r="AM20" s="5">
        <v>217637</v>
      </c>
      <c r="AN20" s="5">
        <v>217637</v>
      </c>
      <c r="AO20" s="5">
        <v>217637</v>
      </c>
      <c r="AP20" s="5">
        <v>217637</v>
      </c>
      <c r="AQ20" s="5">
        <v>217637</v>
      </c>
    </row>
    <row r="21" spans="1:43" x14ac:dyDescent="0.2">
      <c r="A21" s="4">
        <v>1974.3</v>
      </c>
      <c r="B21" s="5">
        <v>79485</v>
      </c>
      <c r="C21" s="54">
        <f t="shared" si="0"/>
        <v>78814.351200000005</v>
      </c>
      <c r="D21" s="5">
        <v>79479</v>
      </c>
      <c r="E21" s="5">
        <v>79194</v>
      </c>
      <c r="F21" s="54">
        <f t="shared" si="5"/>
        <v>79194</v>
      </c>
      <c r="G21" s="54">
        <f t="shared" si="5"/>
        <v>79194</v>
      </c>
      <c r="H21" s="5">
        <v>79194</v>
      </c>
      <c r="I21" s="5">
        <v>79194</v>
      </c>
      <c r="J21" s="5">
        <v>79194</v>
      </c>
      <c r="K21" s="5">
        <v>79194</v>
      </c>
      <c r="L21" s="54">
        <f t="shared" si="2"/>
        <v>79194</v>
      </c>
      <c r="M21" s="5">
        <v>154645</v>
      </c>
      <c r="N21" s="54">
        <f t="shared" si="3"/>
        <v>154645</v>
      </c>
      <c r="O21" s="5">
        <v>154709</v>
      </c>
      <c r="P21" s="5">
        <v>154709</v>
      </c>
      <c r="Q21" s="5">
        <v>154709</v>
      </c>
      <c r="R21" s="5">
        <v>154660</v>
      </c>
      <c r="S21" s="5">
        <v>154677</v>
      </c>
      <c r="T21" s="5">
        <v>154677</v>
      </c>
      <c r="U21" s="54">
        <f t="shared" si="4"/>
        <v>154677</v>
      </c>
      <c r="V21" s="5">
        <v>154677</v>
      </c>
      <c r="W21" s="5">
        <v>154677</v>
      </c>
      <c r="X21" s="5">
        <v>154677</v>
      </c>
      <c r="Y21" s="5">
        <v>154677</v>
      </c>
      <c r="Z21" s="5">
        <v>154677</v>
      </c>
      <c r="AA21" s="5">
        <v>154677</v>
      </c>
      <c r="AB21" s="5">
        <v>154677</v>
      </c>
      <c r="AC21" s="5">
        <v>154677</v>
      </c>
      <c r="AD21" s="5">
        <v>154677</v>
      </c>
      <c r="AE21" s="5">
        <v>154677</v>
      </c>
      <c r="AF21" s="5">
        <v>217219</v>
      </c>
      <c r="AG21" s="5">
        <v>217333</v>
      </c>
      <c r="AH21" s="5">
        <v>216872</v>
      </c>
      <c r="AI21" s="5">
        <v>216872</v>
      </c>
      <c r="AJ21" s="5">
        <v>216872</v>
      </c>
      <c r="AK21" s="5">
        <v>216872</v>
      </c>
      <c r="AL21" s="5">
        <v>216872</v>
      </c>
      <c r="AM21" s="5">
        <v>216872</v>
      </c>
      <c r="AN21" s="5">
        <v>216872</v>
      </c>
      <c r="AO21" s="5">
        <v>216872</v>
      </c>
      <c r="AP21" s="5">
        <v>216872</v>
      </c>
      <c r="AQ21" s="5">
        <v>216872</v>
      </c>
    </row>
    <row r="22" spans="1:43" x14ac:dyDescent="0.2">
      <c r="A22" s="4">
        <v>1974.4</v>
      </c>
      <c r="B22" s="5">
        <v>77142</v>
      </c>
      <c r="C22" s="54">
        <f t="shared" si="0"/>
        <v>76512.351800000004</v>
      </c>
      <c r="D22" s="5">
        <v>77179</v>
      </c>
      <c r="E22" s="5">
        <v>77496</v>
      </c>
      <c r="F22" s="54">
        <f t="shared" si="5"/>
        <v>77496</v>
      </c>
      <c r="G22" s="54">
        <f t="shared" si="5"/>
        <v>77496</v>
      </c>
      <c r="H22" s="5">
        <v>77496</v>
      </c>
      <c r="I22" s="5">
        <v>77496</v>
      </c>
      <c r="J22" s="5">
        <v>77496</v>
      </c>
      <c r="K22" s="5">
        <v>77496</v>
      </c>
      <c r="L22" s="54">
        <f t="shared" si="2"/>
        <v>77496</v>
      </c>
      <c r="M22" s="5">
        <v>151414</v>
      </c>
      <c r="N22" s="54">
        <f t="shared" si="3"/>
        <v>151414</v>
      </c>
      <c r="O22" s="5">
        <v>151413</v>
      </c>
      <c r="P22" s="5">
        <v>151413</v>
      </c>
      <c r="Q22" s="5">
        <v>151413</v>
      </c>
      <c r="R22" s="5">
        <v>151488</v>
      </c>
      <c r="S22" s="5">
        <v>151497</v>
      </c>
      <c r="T22" s="5">
        <v>151497</v>
      </c>
      <c r="U22" s="54">
        <f t="shared" si="4"/>
        <v>151497</v>
      </c>
      <c r="V22" s="5">
        <v>151497</v>
      </c>
      <c r="W22" s="5">
        <v>151497</v>
      </c>
      <c r="X22" s="5">
        <v>151497</v>
      </c>
      <c r="Y22" s="5">
        <v>151497</v>
      </c>
      <c r="Z22" s="5">
        <v>151497</v>
      </c>
      <c r="AA22" s="5">
        <v>151497</v>
      </c>
      <c r="AB22" s="5">
        <v>151497</v>
      </c>
      <c r="AC22" s="5">
        <v>151497</v>
      </c>
      <c r="AD22" s="5">
        <v>151497</v>
      </c>
      <c r="AE22" s="5">
        <v>151497</v>
      </c>
      <c r="AF22" s="5">
        <v>212759</v>
      </c>
      <c r="AG22" s="5">
        <v>212396</v>
      </c>
      <c r="AH22" s="5">
        <v>211767</v>
      </c>
      <c r="AI22" s="5">
        <v>211767</v>
      </c>
      <c r="AJ22" s="5">
        <v>211767</v>
      </c>
      <c r="AK22" s="5">
        <v>211767</v>
      </c>
      <c r="AL22" s="5">
        <v>211767</v>
      </c>
      <c r="AM22" s="5">
        <v>211767</v>
      </c>
      <c r="AN22" s="5">
        <v>211767</v>
      </c>
      <c r="AO22" s="5">
        <v>211767</v>
      </c>
      <c r="AP22" s="5">
        <v>211767</v>
      </c>
      <c r="AQ22" s="5">
        <v>211767</v>
      </c>
    </row>
    <row r="23" spans="1:43" x14ac:dyDescent="0.2">
      <c r="A23" s="4">
        <v>1975.1</v>
      </c>
      <c r="B23" s="5">
        <v>75499</v>
      </c>
      <c r="C23" s="54">
        <f t="shared" si="0"/>
        <v>74884.1446</v>
      </c>
      <c r="D23" s="5">
        <v>75538</v>
      </c>
      <c r="E23" s="5">
        <v>76356</v>
      </c>
      <c r="F23" s="54">
        <f t="shared" si="5"/>
        <v>76356</v>
      </c>
      <c r="G23" s="54">
        <f t="shared" si="5"/>
        <v>76356</v>
      </c>
      <c r="H23" s="5">
        <v>76356</v>
      </c>
      <c r="I23" s="5">
        <v>76356</v>
      </c>
      <c r="J23" s="5">
        <v>76356</v>
      </c>
      <c r="K23" s="5">
        <v>76356</v>
      </c>
      <c r="L23" s="54">
        <f t="shared" si="2"/>
        <v>76356</v>
      </c>
      <c r="M23" s="5">
        <v>149500</v>
      </c>
      <c r="N23" s="54">
        <f t="shared" si="3"/>
        <v>149500</v>
      </c>
      <c r="O23" s="5">
        <v>149514</v>
      </c>
      <c r="P23" s="5">
        <v>149514</v>
      </c>
      <c r="Q23" s="5">
        <v>149514</v>
      </c>
      <c r="R23" s="5">
        <v>149520</v>
      </c>
      <c r="S23" s="5">
        <v>149518</v>
      </c>
      <c r="T23" s="5">
        <v>149518</v>
      </c>
      <c r="U23" s="54">
        <f t="shared" si="4"/>
        <v>149518</v>
      </c>
      <c r="V23" s="5">
        <v>149518</v>
      </c>
      <c r="W23" s="5">
        <v>149518</v>
      </c>
      <c r="X23" s="5">
        <v>149518</v>
      </c>
      <c r="Y23" s="5">
        <v>149518</v>
      </c>
      <c r="Z23" s="5">
        <v>149518</v>
      </c>
      <c r="AA23" s="5">
        <v>149518</v>
      </c>
      <c r="AB23" s="5">
        <v>149518</v>
      </c>
      <c r="AC23" s="5">
        <v>149518</v>
      </c>
      <c r="AD23" s="5">
        <v>149518</v>
      </c>
      <c r="AE23" s="5">
        <v>149518</v>
      </c>
      <c r="AF23" s="5">
        <v>209782</v>
      </c>
      <c r="AG23" s="5">
        <v>209212</v>
      </c>
      <c r="AH23" s="5">
        <v>209373</v>
      </c>
      <c r="AI23" s="5">
        <v>209373</v>
      </c>
      <c r="AJ23" s="5">
        <v>209373</v>
      </c>
      <c r="AK23" s="5">
        <v>209373</v>
      </c>
      <c r="AL23" s="5">
        <v>209373</v>
      </c>
      <c r="AM23" s="5">
        <v>209373</v>
      </c>
      <c r="AN23" s="5">
        <v>209373</v>
      </c>
      <c r="AO23" s="5">
        <v>209373</v>
      </c>
      <c r="AP23" s="5">
        <v>209373</v>
      </c>
      <c r="AQ23" s="5">
        <v>209373</v>
      </c>
    </row>
    <row r="24" spans="1:43" x14ac:dyDescent="0.2">
      <c r="A24" s="4">
        <v>1975.2</v>
      </c>
      <c r="B24" s="5">
        <v>76406</v>
      </c>
      <c r="C24" s="54">
        <f t="shared" si="0"/>
        <v>75761.214800000002</v>
      </c>
      <c r="D24" s="5">
        <v>76400</v>
      </c>
      <c r="E24" s="5">
        <v>76295</v>
      </c>
      <c r="F24" s="54">
        <f t="shared" si="5"/>
        <v>76295</v>
      </c>
      <c r="G24" s="54">
        <f t="shared" si="5"/>
        <v>76295</v>
      </c>
      <c r="H24" s="5">
        <v>76295</v>
      </c>
      <c r="I24" s="5">
        <v>76295</v>
      </c>
      <c r="J24" s="5">
        <v>76295</v>
      </c>
      <c r="K24" s="5">
        <v>76295</v>
      </c>
      <c r="L24" s="54">
        <f t="shared" si="2"/>
        <v>76295</v>
      </c>
      <c r="M24" s="5">
        <v>149104</v>
      </c>
      <c r="N24" s="54">
        <f t="shared" si="3"/>
        <v>149104</v>
      </c>
      <c r="O24" s="5">
        <v>149048</v>
      </c>
      <c r="P24" s="5">
        <v>149048</v>
      </c>
      <c r="Q24" s="5">
        <v>149048</v>
      </c>
      <c r="R24" s="5">
        <v>149118</v>
      </c>
      <c r="S24" s="5">
        <v>149116</v>
      </c>
      <c r="T24" s="5">
        <v>149116</v>
      </c>
      <c r="U24" s="54">
        <f t="shared" si="4"/>
        <v>149116</v>
      </c>
      <c r="V24" s="5">
        <v>149116</v>
      </c>
      <c r="W24" s="5">
        <v>149116</v>
      </c>
      <c r="X24" s="5">
        <v>149116</v>
      </c>
      <c r="Y24" s="5">
        <v>149116</v>
      </c>
      <c r="Z24" s="5">
        <v>149116</v>
      </c>
      <c r="AA24" s="5">
        <v>149116</v>
      </c>
      <c r="AB24" s="5">
        <v>149116</v>
      </c>
      <c r="AC24" s="5">
        <v>149116</v>
      </c>
      <c r="AD24" s="5">
        <v>149116</v>
      </c>
      <c r="AE24" s="5">
        <v>149116</v>
      </c>
      <c r="AF24" s="5">
        <v>209449</v>
      </c>
      <c r="AG24" s="5">
        <v>209161</v>
      </c>
      <c r="AH24" s="5">
        <v>208892</v>
      </c>
      <c r="AI24" s="5">
        <v>208892</v>
      </c>
      <c r="AJ24" s="5">
        <v>208892</v>
      </c>
      <c r="AK24" s="5">
        <v>208892</v>
      </c>
      <c r="AL24" s="5">
        <v>208892</v>
      </c>
      <c r="AM24" s="5">
        <v>208892</v>
      </c>
      <c r="AN24" s="5">
        <v>208892</v>
      </c>
      <c r="AO24" s="5">
        <v>208892</v>
      </c>
      <c r="AP24" s="5">
        <v>208892</v>
      </c>
      <c r="AQ24" s="5">
        <v>208892</v>
      </c>
    </row>
    <row r="25" spans="1:43" x14ac:dyDescent="0.2">
      <c r="A25" s="4">
        <v>1975.3</v>
      </c>
      <c r="B25" s="5">
        <v>76571</v>
      </c>
      <c r="C25" s="54">
        <f t="shared" si="0"/>
        <v>75926.316200000001</v>
      </c>
      <c r="D25" s="5">
        <v>76568</v>
      </c>
      <c r="E25" s="5">
        <v>76500</v>
      </c>
      <c r="F25" s="54">
        <f t="shared" si="5"/>
        <v>76500</v>
      </c>
      <c r="G25" s="54">
        <f t="shared" si="5"/>
        <v>76500</v>
      </c>
      <c r="H25" s="5">
        <v>76500</v>
      </c>
      <c r="I25" s="5">
        <v>76500</v>
      </c>
      <c r="J25" s="5">
        <v>76500</v>
      </c>
      <c r="K25" s="5">
        <v>76500</v>
      </c>
      <c r="L25" s="54">
        <f t="shared" si="2"/>
        <v>76500</v>
      </c>
      <c r="M25" s="5">
        <v>149608</v>
      </c>
      <c r="N25" s="54">
        <f t="shared" si="3"/>
        <v>149608</v>
      </c>
      <c r="O25" s="5">
        <v>149684</v>
      </c>
      <c r="P25" s="5">
        <v>149684</v>
      </c>
      <c r="Q25" s="5">
        <v>149684</v>
      </c>
      <c r="R25" s="5">
        <v>149726</v>
      </c>
      <c r="S25" s="5">
        <v>149731</v>
      </c>
      <c r="T25" s="5">
        <v>149731</v>
      </c>
      <c r="U25" s="54">
        <f t="shared" si="4"/>
        <v>149731</v>
      </c>
      <c r="V25" s="5">
        <v>149731</v>
      </c>
      <c r="W25" s="5">
        <v>149731</v>
      </c>
      <c r="X25" s="5">
        <v>149731</v>
      </c>
      <c r="Y25" s="5">
        <v>149731</v>
      </c>
      <c r="Z25" s="5">
        <v>149731</v>
      </c>
      <c r="AA25" s="5">
        <v>149731</v>
      </c>
      <c r="AB25" s="5">
        <v>149731</v>
      </c>
      <c r="AC25" s="5">
        <v>149731</v>
      </c>
      <c r="AD25" s="5">
        <v>149731</v>
      </c>
      <c r="AE25" s="5">
        <v>149731</v>
      </c>
      <c r="AF25" s="5">
        <v>210527</v>
      </c>
      <c r="AG25" s="5">
        <v>211201</v>
      </c>
      <c r="AH25" s="5">
        <v>211910</v>
      </c>
      <c r="AI25" s="5">
        <v>211910</v>
      </c>
      <c r="AJ25" s="5">
        <v>211910</v>
      </c>
      <c r="AK25" s="5">
        <v>211910</v>
      </c>
      <c r="AL25" s="5">
        <v>211910</v>
      </c>
      <c r="AM25" s="5">
        <v>211910</v>
      </c>
      <c r="AN25" s="5">
        <v>211910</v>
      </c>
      <c r="AO25" s="5">
        <v>211910</v>
      </c>
      <c r="AP25" s="5">
        <v>211910</v>
      </c>
      <c r="AQ25" s="5">
        <v>211910</v>
      </c>
    </row>
    <row r="26" spans="1:43" x14ac:dyDescent="0.2">
      <c r="A26" s="4">
        <v>1975.4</v>
      </c>
      <c r="B26" s="5">
        <v>78706</v>
      </c>
      <c r="C26" s="54">
        <f t="shared" si="0"/>
        <v>78029.995600000009</v>
      </c>
      <c r="D26" s="5">
        <v>78676</v>
      </c>
      <c r="E26" s="5">
        <v>78031</v>
      </c>
      <c r="F26" s="54">
        <f t="shared" si="5"/>
        <v>78031</v>
      </c>
      <c r="G26" s="54">
        <f t="shared" si="5"/>
        <v>78031</v>
      </c>
      <c r="H26" s="5">
        <v>78031</v>
      </c>
      <c r="I26" s="5">
        <v>78031</v>
      </c>
      <c r="J26" s="5">
        <v>78031</v>
      </c>
      <c r="K26" s="5">
        <v>78031</v>
      </c>
      <c r="L26" s="54">
        <f t="shared" si="2"/>
        <v>78031</v>
      </c>
      <c r="M26" s="5">
        <v>153423</v>
      </c>
      <c r="N26" s="54">
        <f t="shared" si="3"/>
        <v>153423</v>
      </c>
      <c r="O26" s="5">
        <v>153388</v>
      </c>
      <c r="P26" s="5">
        <v>153388</v>
      </c>
      <c r="Q26" s="5">
        <v>153388</v>
      </c>
      <c r="R26" s="5">
        <v>153114</v>
      </c>
      <c r="S26" s="5">
        <v>153112</v>
      </c>
      <c r="T26" s="5">
        <v>153112</v>
      </c>
      <c r="U26" s="54">
        <f t="shared" si="4"/>
        <v>153112</v>
      </c>
      <c r="V26" s="5">
        <v>153112</v>
      </c>
      <c r="W26" s="5">
        <v>153112</v>
      </c>
      <c r="X26" s="5">
        <v>153112</v>
      </c>
      <c r="Y26" s="5">
        <v>153112</v>
      </c>
      <c r="Z26" s="5">
        <v>153112</v>
      </c>
      <c r="AA26" s="5">
        <v>153112</v>
      </c>
      <c r="AB26" s="5">
        <v>153112</v>
      </c>
      <c r="AC26" s="5">
        <v>153112</v>
      </c>
      <c r="AD26" s="5">
        <v>153112</v>
      </c>
      <c r="AE26" s="5">
        <v>153112</v>
      </c>
      <c r="AF26" s="5">
        <v>215474</v>
      </c>
      <c r="AG26" s="5">
        <v>215657</v>
      </c>
      <c r="AH26" s="5">
        <v>215057</v>
      </c>
      <c r="AI26" s="5">
        <v>215057</v>
      </c>
      <c r="AJ26" s="5">
        <v>215057</v>
      </c>
      <c r="AK26" s="5">
        <v>215057</v>
      </c>
      <c r="AL26" s="5">
        <v>215057</v>
      </c>
      <c r="AM26" s="5">
        <v>215057</v>
      </c>
      <c r="AN26" s="5">
        <v>215057</v>
      </c>
      <c r="AO26" s="5">
        <v>215057</v>
      </c>
      <c r="AP26" s="5">
        <v>215057</v>
      </c>
      <c r="AQ26" s="5">
        <v>215057</v>
      </c>
    </row>
    <row r="27" spans="1:43" x14ac:dyDescent="0.2">
      <c r="A27" s="4">
        <v>1976.1</v>
      </c>
      <c r="B27" s="5">
        <v>79141</v>
      </c>
      <c r="C27" s="54">
        <f t="shared" si="0"/>
        <v>78485.635800000004</v>
      </c>
      <c r="D27" s="5">
        <v>79160</v>
      </c>
      <c r="E27" s="5">
        <v>79419</v>
      </c>
      <c r="F27" s="54">
        <f t="shared" si="5"/>
        <v>79419</v>
      </c>
      <c r="G27" s="54">
        <f t="shared" si="5"/>
        <v>79419</v>
      </c>
      <c r="H27" s="5">
        <v>79419</v>
      </c>
      <c r="I27" s="5">
        <v>79419</v>
      </c>
      <c r="J27" s="5">
        <v>79419</v>
      </c>
      <c r="K27" s="5">
        <v>79419</v>
      </c>
      <c r="L27" s="54">
        <f t="shared" si="2"/>
        <v>79419</v>
      </c>
      <c r="M27" s="5">
        <v>156007</v>
      </c>
      <c r="N27" s="54">
        <f t="shared" si="3"/>
        <v>156007</v>
      </c>
      <c r="O27" s="5">
        <v>155980</v>
      </c>
      <c r="P27" s="5">
        <v>155980</v>
      </c>
      <c r="Q27" s="5">
        <v>155980</v>
      </c>
      <c r="R27" s="5">
        <v>155711</v>
      </c>
      <c r="S27" s="5">
        <v>155712</v>
      </c>
      <c r="T27" s="5">
        <v>155712</v>
      </c>
      <c r="U27" s="54">
        <f t="shared" si="4"/>
        <v>155712</v>
      </c>
      <c r="V27" s="5">
        <v>155712</v>
      </c>
      <c r="W27" s="5">
        <v>155712</v>
      </c>
      <c r="X27" s="5">
        <v>155712</v>
      </c>
      <c r="Y27" s="5">
        <v>155712</v>
      </c>
      <c r="Z27" s="5">
        <v>155712</v>
      </c>
      <c r="AA27" s="5">
        <v>155712</v>
      </c>
      <c r="AB27" s="5">
        <v>155712</v>
      </c>
      <c r="AC27" s="5">
        <v>155712</v>
      </c>
      <c r="AD27" s="5">
        <v>155712</v>
      </c>
      <c r="AE27" s="5">
        <v>155712</v>
      </c>
      <c r="AF27" s="5">
        <v>218103</v>
      </c>
      <c r="AG27" s="5">
        <v>218255</v>
      </c>
      <c r="AH27" s="5">
        <v>217958</v>
      </c>
      <c r="AI27" s="5">
        <v>217958</v>
      </c>
      <c r="AJ27" s="5">
        <v>217958</v>
      </c>
      <c r="AK27" s="5">
        <v>217958</v>
      </c>
      <c r="AL27" s="5">
        <v>217958</v>
      </c>
      <c r="AM27" s="5">
        <v>217958</v>
      </c>
      <c r="AN27" s="5">
        <v>217958</v>
      </c>
      <c r="AO27" s="5">
        <v>217958</v>
      </c>
      <c r="AP27" s="5">
        <v>217958</v>
      </c>
      <c r="AQ27" s="5">
        <v>217958</v>
      </c>
    </row>
    <row r="28" spans="1:43" x14ac:dyDescent="0.2">
      <c r="A28" s="4">
        <v>1976.2</v>
      </c>
      <c r="B28" s="5">
        <v>80813</v>
      </c>
      <c r="C28" s="54">
        <f t="shared" si="0"/>
        <v>80143.095199999996</v>
      </c>
      <c r="D28" s="5">
        <v>80831</v>
      </c>
      <c r="E28" s="5">
        <v>80957</v>
      </c>
      <c r="F28" s="54">
        <f t="shared" si="5"/>
        <v>80957</v>
      </c>
      <c r="G28" s="54">
        <f t="shared" si="5"/>
        <v>80957</v>
      </c>
      <c r="H28" s="5">
        <v>80957</v>
      </c>
      <c r="I28" s="5">
        <v>80957</v>
      </c>
      <c r="J28" s="5">
        <v>80957</v>
      </c>
      <c r="K28" s="5">
        <v>80957</v>
      </c>
      <c r="L28" s="54">
        <f t="shared" si="2"/>
        <v>80957</v>
      </c>
      <c r="M28" s="5">
        <v>158990</v>
      </c>
      <c r="N28" s="54">
        <f t="shared" si="3"/>
        <v>158990</v>
      </c>
      <c r="O28" s="5">
        <v>158825</v>
      </c>
      <c r="P28" s="5">
        <v>158825</v>
      </c>
      <c r="Q28" s="5">
        <v>158825</v>
      </c>
      <c r="R28" s="5">
        <v>158511</v>
      </c>
      <c r="S28" s="5">
        <v>158522</v>
      </c>
      <c r="T28" s="5">
        <v>158522</v>
      </c>
      <c r="U28" s="54">
        <f t="shared" si="4"/>
        <v>158522</v>
      </c>
      <c r="V28" s="5">
        <v>158522</v>
      </c>
      <c r="W28" s="5">
        <v>158522</v>
      </c>
      <c r="X28" s="5">
        <v>158522</v>
      </c>
      <c r="Y28" s="5">
        <v>158522</v>
      </c>
      <c r="Z28" s="5">
        <v>158522</v>
      </c>
      <c r="AA28" s="5">
        <v>158522</v>
      </c>
      <c r="AB28" s="5">
        <v>158522</v>
      </c>
      <c r="AC28" s="5">
        <v>158522</v>
      </c>
      <c r="AD28" s="5">
        <v>158522</v>
      </c>
      <c r="AE28" s="5">
        <v>158522</v>
      </c>
      <c r="AF28" s="5">
        <v>222976</v>
      </c>
      <c r="AG28" s="5">
        <v>222512</v>
      </c>
      <c r="AH28" s="5">
        <v>222760</v>
      </c>
      <c r="AI28" s="5">
        <v>222760</v>
      </c>
      <c r="AJ28" s="5">
        <v>222760</v>
      </c>
      <c r="AK28" s="5">
        <v>222760</v>
      </c>
      <c r="AL28" s="5">
        <v>222760</v>
      </c>
      <c r="AM28" s="5">
        <v>222760</v>
      </c>
      <c r="AN28" s="5">
        <v>222760</v>
      </c>
      <c r="AO28" s="5">
        <v>222760</v>
      </c>
      <c r="AP28" s="5">
        <v>222760</v>
      </c>
      <c r="AQ28" s="5">
        <v>222760</v>
      </c>
    </row>
    <row r="29" spans="1:43" x14ac:dyDescent="0.2">
      <c r="A29" s="4">
        <v>1976.3</v>
      </c>
      <c r="B29" s="5">
        <v>82675</v>
      </c>
      <c r="C29" s="54">
        <f t="shared" si="0"/>
        <v>81980.53</v>
      </c>
      <c r="D29" s="5">
        <v>82675</v>
      </c>
      <c r="E29" s="5">
        <v>82565</v>
      </c>
      <c r="F29" s="54">
        <f t="shared" si="5"/>
        <v>82565</v>
      </c>
      <c r="G29" s="54">
        <f t="shared" si="5"/>
        <v>82565</v>
      </c>
      <c r="H29" s="5">
        <v>82565</v>
      </c>
      <c r="I29" s="5">
        <v>82565</v>
      </c>
      <c r="J29" s="5">
        <v>82565</v>
      </c>
      <c r="K29" s="5">
        <v>82565</v>
      </c>
      <c r="L29" s="54">
        <f t="shared" si="2"/>
        <v>82565</v>
      </c>
      <c r="M29" s="5">
        <v>161026</v>
      </c>
      <c r="N29" s="54">
        <f t="shared" si="3"/>
        <v>161026</v>
      </c>
      <c r="O29" s="5">
        <v>161240</v>
      </c>
      <c r="P29" s="5">
        <v>161240</v>
      </c>
      <c r="Q29" s="5">
        <v>161240</v>
      </c>
      <c r="R29" s="5">
        <v>161157</v>
      </c>
      <c r="S29" s="5">
        <v>161152</v>
      </c>
      <c r="T29" s="5">
        <v>161152</v>
      </c>
      <c r="U29" s="54">
        <f t="shared" si="4"/>
        <v>161152</v>
      </c>
      <c r="V29" s="5">
        <v>161152</v>
      </c>
      <c r="W29" s="5">
        <v>161152</v>
      </c>
      <c r="X29" s="5">
        <v>161152</v>
      </c>
      <c r="Y29" s="5">
        <v>161152</v>
      </c>
      <c r="Z29" s="5">
        <v>161152</v>
      </c>
      <c r="AA29" s="5">
        <v>161152</v>
      </c>
      <c r="AB29" s="5">
        <v>161152</v>
      </c>
      <c r="AC29" s="5">
        <v>161152</v>
      </c>
      <c r="AD29" s="5">
        <v>161152</v>
      </c>
      <c r="AE29" s="5">
        <v>161152</v>
      </c>
      <c r="AF29" s="5">
        <v>227117</v>
      </c>
      <c r="AG29" s="5">
        <v>226944</v>
      </c>
      <c r="AH29" s="5">
        <v>228039</v>
      </c>
      <c r="AI29" s="5">
        <v>228039</v>
      </c>
      <c r="AJ29" s="5">
        <v>228039</v>
      </c>
      <c r="AK29" s="5">
        <v>228039</v>
      </c>
      <c r="AL29" s="5">
        <v>228039</v>
      </c>
      <c r="AM29" s="5">
        <v>228039</v>
      </c>
      <c r="AN29" s="5">
        <v>228039</v>
      </c>
      <c r="AO29" s="5">
        <v>228039</v>
      </c>
      <c r="AP29" s="5">
        <v>228039</v>
      </c>
      <c r="AQ29" s="5">
        <v>228039</v>
      </c>
    </row>
    <row r="30" spans="1:43" x14ac:dyDescent="0.2">
      <c r="A30" s="4">
        <v>1976.4</v>
      </c>
      <c r="B30" s="5">
        <v>84763</v>
      </c>
      <c r="C30" s="54">
        <f t="shared" si="0"/>
        <v>84032.646200000003</v>
      </c>
      <c r="D30" s="5">
        <v>84726</v>
      </c>
      <c r="E30" s="5">
        <v>84450</v>
      </c>
      <c r="F30" s="54">
        <f t="shared" si="5"/>
        <v>84450</v>
      </c>
      <c r="G30" s="54">
        <f t="shared" si="5"/>
        <v>84450</v>
      </c>
      <c r="H30" s="5">
        <v>84450</v>
      </c>
      <c r="I30" s="5">
        <v>84450</v>
      </c>
      <c r="J30" s="5">
        <v>84450</v>
      </c>
      <c r="K30" s="5">
        <v>84450</v>
      </c>
      <c r="L30" s="54">
        <f t="shared" si="2"/>
        <v>84450</v>
      </c>
      <c r="M30" s="5">
        <v>164829</v>
      </c>
      <c r="N30" s="54">
        <f t="shared" si="3"/>
        <v>164829</v>
      </c>
      <c r="O30" s="5">
        <v>164807</v>
      </c>
      <c r="P30" s="5">
        <v>164807</v>
      </c>
      <c r="Q30" s="5">
        <v>164807</v>
      </c>
      <c r="R30" s="5">
        <v>165246</v>
      </c>
      <c r="S30" s="5">
        <v>165239</v>
      </c>
      <c r="T30" s="5">
        <v>165239</v>
      </c>
      <c r="U30" s="54">
        <f t="shared" si="4"/>
        <v>165239</v>
      </c>
      <c r="V30" s="5">
        <v>165239</v>
      </c>
      <c r="W30" s="5">
        <v>165239</v>
      </c>
      <c r="X30" s="5">
        <v>165239</v>
      </c>
      <c r="Y30" s="5">
        <v>165239</v>
      </c>
      <c r="Z30" s="5">
        <v>165239</v>
      </c>
      <c r="AA30" s="5">
        <v>165239</v>
      </c>
      <c r="AB30" s="5">
        <v>165239</v>
      </c>
      <c r="AC30" s="5">
        <v>165239</v>
      </c>
      <c r="AD30" s="5">
        <v>165239</v>
      </c>
      <c r="AE30" s="5">
        <v>165239</v>
      </c>
      <c r="AF30" s="5">
        <v>231962</v>
      </c>
      <c r="AG30" s="5">
        <v>232446</v>
      </c>
      <c r="AH30" s="5">
        <v>231400</v>
      </c>
      <c r="AI30" s="5">
        <v>231400</v>
      </c>
      <c r="AJ30" s="5">
        <v>231400</v>
      </c>
      <c r="AK30" s="5">
        <v>231400</v>
      </c>
      <c r="AL30" s="5">
        <v>231400</v>
      </c>
      <c r="AM30" s="5">
        <v>231400</v>
      </c>
      <c r="AN30" s="5">
        <v>231400</v>
      </c>
      <c r="AO30" s="5">
        <v>231400</v>
      </c>
      <c r="AP30" s="5">
        <v>231400</v>
      </c>
      <c r="AQ30" s="5">
        <v>231400</v>
      </c>
    </row>
    <row r="31" spans="1:43" x14ac:dyDescent="0.2">
      <c r="A31" s="4">
        <v>1977.1</v>
      </c>
      <c r="B31" s="5">
        <v>85284</v>
      </c>
      <c r="C31" s="54">
        <f t="shared" si="0"/>
        <v>84547.782399999996</v>
      </c>
      <c r="D31" s="5">
        <v>85244</v>
      </c>
      <c r="E31" s="5">
        <v>85551</v>
      </c>
      <c r="F31" s="54">
        <f t="shared" si="5"/>
        <v>85551</v>
      </c>
      <c r="G31" s="54">
        <f t="shared" si="5"/>
        <v>85551</v>
      </c>
      <c r="H31" s="5">
        <v>85551</v>
      </c>
      <c r="I31" s="5">
        <v>85551</v>
      </c>
      <c r="J31" s="5">
        <v>85551</v>
      </c>
      <c r="K31" s="5">
        <v>85551</v>
      </c>
      <c r="L31" s="54">
        <f t="shared" si="2"/>
        <v>85551</v>
      </c>
      <c r="M31" s="5">
        <v>166991</v>
      </c>
      <c r="N31" s="54">
        <f t="shared" si="3"/>
        <v>166991</v>
      </c>
      <c r="O31" s="5">
        <v>166964</v>
      </c>
      <c r="P31" s="5">
        <v>166964</v>
      </c>
      <c r="Q31" s="5">
        <v>166964</v>
      </c>
      <c r="R31" s="5">
        <v>167384</v>
      </c>
      <c r="S31" s="5">
        <v>167377</v>
      </c>
      <c r="T31" s="5">
        <v>167377</v>
      </c>
      <c r="U31" s="54">
        <f t="shared" si="4"/>
        <v>167377</v>
      </c>
      <c r="V31" s="5">
        <v>167377</v>
      </c>
      <c r="W31" s="5">
        <v>167377</v>
      </c>
      <c r="X31" s="5">
        <v>167377</v>
      </c>
      <c r="Y31" s="5">
        <v>167377</v>
      </c>
      <c r="Z31" s="5">
        <v>167377</v>
      </c>
      <c r="AA31" s="5">
        <v>167377</v>
      </c>
      <c r="AB31" s="5">
        <v>167377</v>
      </c>
      <c r="AC31" s="5">
        <v>167377</v>
      </c>
      <c r="AD31" s="5">
        <v>167377</v>
      </c>
      <c r="AE31" s="5">
        <v>167377</v>
      </c>
      <c r="AF31" s="5">
        <v>232584</v>
      </c>
      <c r="AG31" s="5">
        <v>232519</v>
      </c>
      <c r="AH31" s="5">
        <v>232828</v>
      </c>
      <c r="AI31" s="5">
        <v>232828</v>
      </c>
      <c r="AJ31" s="5">
        <v>232828</v>
      </c>
      <c r="AK31" s="5">
        <v>232828</v>
      </c>
      <c r="AL31" s="5">
        <v>232828</v>
      </c>
      <c r="AM31" s="5">
        <v>232828</v>
      </c>
      <c r="AN31" s="5">
        <v>232828</v>
      </c>
      <c r="AO31" s="5">
        <v>232828</v>
      </c>
      <c r="AP31" s="5">
        <v>232828</v>
      </c>
      <c r="AQ31" s="5">
        <v>232828</v>
      </c>
    </row>
    <row r="32" spans="1:43" x14ac:dyDescent="0.2">
      <c r="A32" s="4">
        <v>1977.2</v>
      </c>
      <c r="B32" s="5">
        <v>84954</v>
      </c>
      <c r="C32" s="54">
        <f t="shared" si="0"/>
        <v>84230.96620000001</v>
      </c>
      <c r="D32" s="5">
        <v>84935</v>
      </c>
      <c r="E32" s="5">
        <v>84420</v>
      </c>
      <c r="F32" s="54">
        <f t="shared" si="5"/>
        <v>84420</v>
      </c>
      <c r="G32" s="54">
        <f t="shared" si="5"/>
        <v>84420</v>
      </c>
      <c r="H32" s="5">
        <v>84420</v>
      </c>
      <c r="I32" s="5">
        <v>84420</v>
      </c>
      <c r="J32" s="5">
        <v>84420</v>
      </c>
      <c r="K32" s="5">
        <v>84420</v>
      </c>
      <c r="L32" s="54">
        <f t="shared" si="2"/>
        <v>84420</v>
      </c>
      <c r="M32" s="5">
        <v>165389</v>
      </c>
      <c r="N32" s="54">
        <f t="shared" si="3"/>
        <v>165389</v>
      </c>
      <c r="O32" s="5">
        <v>165434</v>
      </c>
      <c r="P32" s="5">
        <v>165434</v>
      </c>
      <c r="Q32" s="5">
        <v>165434</v>
      </c>
      <c r="R32" s="5">
        <v>165437</v>
      </c>
      <c r="S32" s="5">
        <v>165430</v>
      </c>
      <c r="T32" s="5">
        <v>165430</v>
      </c>
      <c r="U32" s="54">
        <f t="shared" si="4"/>
        <v>165430</v>
      </c>
      <c r="V32" s="5">
        <v>165430</v>
      </c>
      <c r="W32" s="5">
        <v>165430</v>
      </c>
      <c r="X32" s="5">
        <v>165430</v>
      </c>
      <c r="Y32" s="5">
        <v>165430</v>
      </c>
      <c r="Z32" s="5">
        <v>165430</v>
      </c>
      <c r="AA32" s="5">
        <v>165430</v>
      </c>
      <c r="AB32" s="5">
        <v>165430</v>
      </c>
      <c r="AC32" s="5">
        <v>165430</v>
      </c>
      <c r="AD32" s="5">
        <v>165430</v>
      </c>
      <c r="AE32" s="5">
        <v>165430</v>
      </c>
      <c r="AF32" s="5">
        <v>231798</v>
      </c>
      <c r="AG32" s="5">
        <v>231875</v>
      </c>
      <c r="AH32" s="5">
        <v>231733</v>
      </c>
      <c r="AI32" s="5">
        <v>231733</v>
      </c>
      <c r="AJ32" s="5">
        <v>231733</v>
      </c>
      <c r="AK32" s="5">
        <v>231733</v>
      </c>
      <c r="AL32" s="5">
        <v>231733</v>
      </c>
      <c r="AM32" s="5">
        <v>231733</v>
      </c>
      <c r="AN32" s="5">
        <v>231733</v>
      </c>
      <c r="AO32" s="5">
        <v>231733</v>
      </c>
      <c r="AP32" s="5">
        <v>231733</v>
      </c>
      <c r="AQ32" s="5">
        <v>231733</v>
      </c>
    </row>
    <row r="33" spans="1:43" x14ac:dyDescent="0.2">
      <c r="A33" s="4">
        <v>1977.3</v>
      </c>
      <c r="B33" s="5">
        <v>84235</v>
      </c>
      <c r="C33" s="54">
        <f t="shared" si="0"/>
        <v>83535.854600000006</v>
      </c>
      <c r="D33" s="5">
        <v>84252</v>
      </c>
      <c r="E33" s="5">
        <v>84456</v>
      </c>
      <c r="F33" s="54">
        <f t="shared" si="5"/>
        <v>84456</v>
      </c>
      <c r="G33" s="54">
        <f t="shared" si="5"/>
        <v>84456</v>
      </c>
      <c r="H33" s="5">
        <v>84456</v>
      </c>
      <c r="I33" s="5">
        <v>84456</v>
      </c>
      <c r="J33" s="5">
        <v>84456</v>
      </c>
      <c r="K33" s="5">
        <v>84456</v>
      </c>
      <c r="L33" s="54">
        <f t="shared" si="2"/>
        <v>84456</v>
      </c>
      <c r="M33" s="5">
        <v>165283</v>
      </c>
      <c r="N33" s="54">
        <f t="shared" si="3"/>
        <v>165283</v>
      </c>
      <c r="O33" s="5">
        <v>165250</v>
      </c>
      <c r="P33" s="5">
        <v>165250</v>
      </c>
      <c r="Q33" s="5">
        <v>165250</v>
      </c>
      <c r="R33" s="5">
        <v>165193</v>
      </c>
      <c r="S33" s="5">
        <v>165188</v>
      </c>
      <c r="T33" s="5">
        <v>165188</v>
      </c>
      <c r="U33" s="54">
        <f t="shared" si="4"/>
        <v>165188</v>
      </c>
      <c r="V33" s="5">
        <v>165188</v>
      </c>
      <c r="W33" s="5">
        <v>165188</v>
      </c>
      <c r="X33" s="5">
        <v>165188</v>
      </c>
      <c r="Y33" s="5">
        <v>165188</v>
      </c>
      <c r="Z33" s="5">
        <v>165188</v>
      </c>
      <c r="AA33" s="5">
        <v>165188</v>
      </c>
      <c r="AB33" s="5">
        <v>165188</v>
      </c>
      <c r="AC33" s="5">
        <v>165188</v>
      </c>
      <c r="AD33" s="5">
        <v>165188</v>
      </c>
      <c r="AE33" s="5">
        <v>165188</v>
      </c>
      <c r="AF33" s="5">
        <v>230035</v>
      </c>
      <c r="AG33" s="5">
        <v>230361</v>
      </c>
      <c r="AH33" s="5">
        <v>230427</v>
      </c>
      <c r="AI33" s="5">
        <v>230427</v>
      </c>
      <c r="AJ33" s="5">
        <v>230427</v>
      </c>
      <c r="AK33" s="5">
        <v>230427</v>
      </c>
      <c r="AL33" s="5">
        <v>230427</v>
      </c>
      <c r="AM33" s="5">
        <v>230427</v>
      </c>
      <c r="AN33" s="5">
        <v>230427</v>
      </c>
      <c r="AO33" s="5">
        <v>230427</v>
      </c>
      <c r="AP33" s="5">
        <v>230427</v>
      </c>
      <c r="AQ33" s="5">
        <v>230427</v>
      </c>
    </row>
    <row r="34" spans="1:43" x14ac:dyDescent="0.2">
      <c r="A34" s="4">
        <v>1977.4</v>
      </c>
      <c r="B34" s="5">
        <v>83969</v>
      </c>
      <c r="C34" s="54">
        <f t="shared" si="0"/>
        <v>83284.483999999997</v>
      </c>
      <c r="D34" s="5">
        <v>84011</v>
      </c>
      <c r="E34" s="5">
        <v>84015</v>
      </c>
      <c r="F34" s="54">
        <f t="shared" si="5"/>
        <v>84015</v>
      </c>
      <c r="G34" s="54">
        <f t="shared" si="5"/>
        <v>84015</v>
      </c>
      <c r="H34" s="5">
        <v>84015</v>
      </c>
      <c r="I34" s="5">
        <v>84015</v>
      </c>
      <c r="J34" s="5">
        <v>84015</v>
      </c>
      <c r="K34" s="5">
        <v>84015</v>
      </c>
      <c r="L34" s="54">
        <f t="shared" si="2"/>
        <v>84015</v>
      </c>
      <c r="M34" s="5">
        <v>164779</v>
      </c>
      <c r="N34" s="54">
        <f t="shared" si="3"/>
        <v>164779</v>
      </c>
      <c r="O34" s="5">
        <v>164793</v>
      </c>
      <c r="P34" s="5">
        <v>164793</v>
      </c>
      <c r="Q34" s="5">
        <v>164793</v>
      </c>
      <c r="R34" s="5">
        <v>164406</v>
      </c>
      <c r="S34" s="5">
        <v>164425</v>
      </c>
      <c r="T34" s="5">
        <v>164425</v>
      </c>
      <c r="U34" s="54">
        <f t="shared" si="4"/>
        <v>164425</v>
      </c>
      <c r="V34" s="5">
        <v>164425</v>
      </c>
      <c r="W34" s="5">
        <v>164425</v>
      </c>
      <c r="X34" s="5">
        <v>164425</v>
      </c>
      <c r="Y34" s="5">
        <v>164425</v>
      </c>
      <c r="Z34" s="5">
        <v>164425</v>
      </c>
      <c r="AA34" s="5">
        <v>164425</v>
      </c>
      <c r="AB34" s="5">
        <v>164425</v>
      </c>
      <c r="AC34" s="5">
        <v>164425</v>
      </c>
      <c r="AD34" s="5">
        <v>164425</v>
      </c>
      <c r="AE34" s="5">
        <v>164425</v>
      </c>
      <c r="AF34" s="5">
        <v>231753</v>
      </c>
      <c r="AG34" s="5">
        <v>231416</v>
      </c>
      <c r="AH34" s="5">
        <v>231182</v>
      </c>
      <c r="AI34" s="5">
        <v>231182</v>
      </c>
      <c r="AJ34" s="5">
        <v>231182</v>
      </c>
      <c r="AK34" s="5">
        <v>231182</v>
      </c>
      <c r="AL34" s="5">
        <v>231182</v>
      </c>
      <c r="AM34" s="5">
        <v>231182</v>
      </c>
      <c r="AN34" s="5">
        <v>231182</v>
      </c>
      <c r="AO34" s="5">
        <v>231182</v>
      </c>
      <c r="AP34" s="5">
        <v>231182</v>
      </c>
      <c r="AQ34" s="5">
        <v>231182</v>
      </c>
    </row>
    <row r="35" spans="1:43" x14ac:dyDescent="0.2">
      <c r="A35" s="4">
        <v>1978.1</v>
      </c>
      <c r="B35" s="5">
        <v>85071</v>
      </c>
      <c r="C35" s="54">
        <f t="shared" si="0"/>
        <v>84372.26920000001</v>
      </c>
      <c r="D35" s="5">
        <v>85103</v>
      </c>
      <c r="E35" s="5">
        <v>85431</v>
      </c>
      <c r="F35" s="54">
        <f t="shared" ref="F35:G50" si="6">E35</f>
        <v>85431</v>
      </c>
      <c r="G35" s="54">
        <f t="shared" si="6"/>
        <v>85431</v>
      </c>
      <c r="H35" s="5">
        <v>85431</v>
      </c>
      <c r="I35" s="5">
        <v>85431</v>
      </c>
      <c r="J35" s="5">
        <v>85431</v>
      </c>
      <c r="K35" s="5">
        <v>85431</v>
      </c>
      <c r="L35" s="54">
        <f t="shared" si="2"/>
        <v>85431</v>
      </c>
      <c r="M35" s="5">
        <v>167333</v>
      </c>
      <c r="N35" s="54">
        <f t="shared" si="3"/>
        <v>167333</v>
      </c>
      <c r="O35" s="5">
        <v>167248</v>
      </c>
      <c r="P35" s="5">
        <v>167248</v>
      </c>
      <c r="Q35" s="5">
        <v>167248</v>
      </c>
      <c r="R35" s="5">
        <v>166967</v>
      </c>
      <c r="S35" s="5">
        <v>166967</v>
      </c>
      <c r="T35" s="5">
        <v>166967</v>
      </c>
      <c r="U35" s="54">
        <f t="shared" si="4"/>
        <v>166967</v>
      </c>
      <c r="V35" s="5">
        <v>166967</v>
      </c>
      <c r="W35" s="5">
        <v>166967</v>
      </c>
      <c r="X35" s="5">
        <v>166967</v>
      </c>
      <c r="Y35" s="5">
        <v>166967</v>
      </c>
      <c r="Z35" s="5">
        <v>166967</v>
      </c>
      <c r="AA35" s="5">
        <v>166967</v>
      </c>
      <c r="AB35" s="5">
        <v>166967</v>
      </c>
      <c r="AC35" s="5">
        <v>166967</v>
      </c>
      <c r="AD35" s="5">
        <v>166967</v>
      </c>
      <c r="AE35" s="5">
        <v>166967</v>
      </c>
      <c r="AF35" s="5">
        <v>235950</v>
      </c>
      <c r="AG35" s="5">
        <v>235297</v>
      </c>
      <c r="AH35" s="5">
        <v>235428</v>
      </c>
      <c r="AI35" s="5">
        <v>235428</v>
      </c>
      <c r="AJ35" s="5">
        <v>235428</v>
      </c>
      <c r="AK35" s="5">
        <v>235428</v>
      </c>
      <c r="AL35" s="5">
        <v>235428</v>
      </c>
      <c r="AM35" s="5">
        <v>235428</v>
      </c>
      <c r="AN35" s="5">
        <v>235428</v>
      </c>
      <c r="AO35" s="5">
        <v>235428</v>
      </c>
      <c r="AP35" s="5">
        <v>235428</v>
      </c>
      <c r="AQ35" s="5">
        <v>235428</v>
      </c>
    </row>
    <row r="36" spans="1:43" x14ac:dyDescent="0.2">
      <c r="A36" s="4">
        <v>1978.2</v>
      </c>
      <c r="B36" s="5">
        <v>87363</v>
      </c>
      <c r="C36" s="54">
        <f t="shared" si="0"/>
        <v>86625.680200000003</v>
      </c>
      <c r="D36" s="5">
        <v>87356</v>
      </c>
      <c r="E36" s="5">
        <v>87082</v>
      </c>
      <c r="F36" s="54">
        <f t="shared" si="6"/>
        <v>87082</v>
      </c>
      <c r="G36" s="54">
        <f t="shared" si="6"/>
        <v>87082</v>
      </c>
      <c r="H36" s="5">
        <v>87082</v>
      </c>
      <c r="I36" s="5">
        <v>87082</v>
      </c>
      <c r="J36" s="5">
        <v>87082</v>
      </c>
      <c r="K36" s="5">
        <v>87082</v>
      </c>
      <c r="L36" s="54">
        <f t="shared" si="2"/>
        <v>87082</v>
      </c>
      <c r="M36" s="5">
        <v>170046</v>
      </c>
      <c r="N36" s="54">
        <f t="shared" si="3"/>
        <v>170046</v>
      </c>
      <c r="O36" s="5">
        <v>169979</v>
      </c>
      <c r="P36" s="5">
        <v>169979</v>
      </c>
      <c r="Q36" s="5">
        <v>169979</v>
      </c>
      <c r="R36" s="5">
        <v>170148</v>
      </c>
      <c r="S36" s="5">
        <v>170148</v>
      </c>
      <c r="T36" s="5">
        <v>170148</v>
      </c>
      <c r="U36" s="54">
        <f t="shared" si="4"/>
        <v>170148</v>
      </c>
      <c r="V36" s="5">
        <v>170148</v>
      </c>
      <c r="W36" s="5">
        <v>170148</v>
      </c>
      <c r="X36" s="5">
        <v>170148</v>
      </c>
      <c r="Y36" s="5">
        <v>170148</v>
      </c>
      <c r="Z36" s="5">
        <v>170148</v>
      </c>
      <c r="AA36" s="5">
        <v>170148</v>
      </c>
      <c r="AB36" s="5">
        <v>170148</v>
      </c>
      <c r="AC36" s="5">
        <v>170148</v>
      </c>
      <c r="AD36" s="5">
        <v>170148</v>
      </c>
      <c r="AE36" s="5">
        <v>170148</v>
      </c>
      <c r="AF36" s="5">
        <v>238716</v>
      </c>
      <c r="AG36" s="5">
        <v>238756</v>
      </c>
      <c r="AH36" s="5">
        <v>238149</v>
      </c>
      <c r="AI36" s="5">
        <v>238149</v>
      </c>
      <c r="AJ36" s="5">
        <v>238149</v>
      </c>
      <c r="AK36" s="5">
        <v>238149</v>
      </c>
      <c r="AL36" s="5">
        <v>238149</v>
      </c>
      <c r="AM36" s="5">
        <v>238149</v>
      </c>
      <c r="AN36" s="5">
        <v>238149</v>
      </c>
      <c r="AO36" s="5">
        <v>238149</v>
      </c>
      <c r="AP36" s="5">
        <v>238149</v>
      </c>
      <c r="AQ36" s="5">
        <v>238149</v>
      </c>
    </row>
    <row r="37" spans="1:43" x14ac:dyDescent="0.2">
      <c r="A37" s="4">
        <v>1978.3</v>
      </c>
      <c r="B37" s="5">
        <v>88420</v>
      </c>
      <c r="C37" s="54">
        <f t="shared" si="0"/>
        <v>87673.801399999997</v>
      </c>
      <c r="D37" s="5">
        <v>88413</v>
      </c>
      <c r="E37" s="5">
        <v>88925</v>
      </c>
      <c r="F37" s="54">
        <f t="shared" si="6"/>
        <v>88925</v>
      </c>
      <c r="G37" s="54">
        <f t="shared" si="6"/>
        <v>88925</v>
      </c>
      <c r="H37" s="5">
        <v>88925</v>
      </c>
      <c r="I37" s="5">
        <v>88925</v>
      </c>
      <c r="J37" s="5">
        <v>88925</v>
      </c>
      <c r="K37" s="5">
        <v>88925</v>
      </c>
      <c r="L37" s="54">
        <f t="shared" si="2"/>
        <v>88925</v>
      </c>
      <c r="M37" s="5">
        <v>173791</v>
      </c>
      <c r="N37" s="54">
        <f t="shared" si="3"/>
        <v>173791</v>
      </c>
      <c r="O37" s="5">
        <v>173814</v>
      </c>
      <c r="P37" s="5">
        <v>173814</v>
      </c>
      <c r="Q37" s="5">
        <v>173814</v>
      </c>
      <c r="R37" s="5">
        <v>173956</v>
      </c>
      <c r="S37" s="5">
        <v>173956</v>
      </c>
      <c r="T37" s="5">
        <v>173956</v>
      </c>
      <c r="U37" s="54">
        <f t="shared" si="4"/>
        <v>173956</v>
      </c>
      <c r="V37" s="5">
        <v>173956</v>
      </c>
      <c r="W37" s="5">
        <v>173956</v>
      </c>
      <c r="X37" s="5">
        <v>173956</v>
      </c>
      <c r="Y37" s="5">
        <v>173956</v>
      </c>
      <c r="Z37" s="5">
        <v>173956</v>
      </c>
      <c r="AA37" s="5">
        <v>173956</v>
      </c>
      <c r="AB37" s="5">
        <v>173956</v>
      </c>
      <c r="AC37" s="5">
        <v>173956</v>
      </c>
      <c r="AD37" s="5">
        <v>173956</v>
      </c>
      <c r="AE37" s="5">
        <v>173956</v>
      </c>
      <c r="AF37" s="5">
        <v>240450</v>
      </c>
      <c r="AG37" s="5">
        <v>241273</v>
      </c>
      <c r="AH37" s="5">
        <v>241230</v>
      </c>
      <c r="AI37" s="5">
        <v>241230</v>
      </c>
      <c r="AJ37" s="5">
        <v>241230</v>
      </c>
      <c r="AK37" s="5">
        <v>241230</v>
      </c>
      <c r="AL37" s="5">
        <v>241230</v>
      </c>
      <c r="AM37" s="5">
        <v>241230</v>
      </c>
      <c r="AN37" s="5">
        <v>241230</v>
      </c>
      <c r="AO37" s="5">
        <v>241230</v>
      </c>
      <c r="AP37" s="5">
        <v>241230</v>
      </c>
      <c r="AQ37" s="5">
        <v>241230</v>
      </c>
    </row>
    <row r="38" spans="1:43" x14ac:dyDescent="0.2">
      <c r="A38" s="4">
        <v>1978.4</v>
      </c>
      <c r="B38" s="5">
        <v>90049</v>
      </c>
      <c r="C38" s="54">
        <f t="shared" si="0"/>
        <v>89283.664000000004</v>
      </c>
      <c r="D38" s="5">
        <v>90031</v>
      </c>
      <c r="E38" s="5">
        <v>89465</v>
      </c>
      <c r="F38" s="54">
        <f t="shared" si="6"/>
        <v>89465</v>
      </c>
      <c r="G38" s="54">
        <f t="shared" si="6"/>
        <v>89465</v>
      </c>
      <c r="H38" s="5">
        <v>89465</v>
      </c>
      <c r="I38" s="5">
        <v>89465</v>
      </c>
      <c r="J38" s="5">
        <v>89465</v>
      </c>
      <c r="K38" s="5">
        <v>89465</v>
      </c>
      <c r="L38" s="54">
        <f t="shared" si="2"/>
        <v>89465</v>
      </c>
      <c r="M38" s="5">
        <v>175408</v>
      </c>
      <c r="N38" s="54">
        <f t="shared" si="3"/>
        <v>175408</v>
      </c>
      <c r="O38" s="5">
        <v>175537</v>
      </c>
      <c r="P38" s="5">
        <v>175537</v>
      </c>
      <c r="Q38" s="5">
        <v>175537</v>
      </c>
      <c r="R38" s="5">
        <v>175411</v>
      </c>
      <c r="S38" s="5">
        <v>175411</v>
      </c>
      <c r="T38" s="5">
        <v>175411</v>
      </c>
      <c r="U38" s="54">
        <f t="shared" si="4"/>
        <v>175411</v>
      </c>
      <c r="V38" s="5">
        <v>175411</v>
      </c>
      <c r="W38" s="5">
        <v>175411</v>
      </c>
      <c r="X38" s="5">
        <v>175411</v>
      </c>
      <c r="Y38" s="5">
        <v>175411</v>
      </c>
      <c r="Z38" s="5">
        <v>175411</v>
      </c>
      <c r="AA38" s="5">
        <v>175411</v>
      </c>
      <c r="AB38" s="5">
        <v>175411</v>
      </c>
      <c r="AC38" s="5">
        <v>175411</v>
      </c>
      <c r="AD38" s="5">
        <v>175411</v>
      </c>
      <c r="AE38" s="5">
        <v>175411</v>
      </c>
      <c r="AF38" s="5">
        <v>245582</v>
      </c>
      <c r="AG38" s="5">
        <v>245372</v>
      </c>
      <c r="AH38" s="5">
        <v>245891</v>
      </c>
      <c r="AI38" s="5">
        <v>245891</v>
      </c>
      <c r="AJ38" s="5">
        <v>245891</v>
      </c>
      <c r="AK38" s="5">
        <v>245891</v>
      </c>
      <c r="AL38" s="5">
        <v>245891</v>
      </c>
      <c r="AM38" s="5">
        <v>245891</v>
      </c>
      <c r="AN38" s="5">
        <v>245891</v>
      </c>
      <c r="AO38" s="5">
        <v>245891</v>
      </c>
      <c r="AP38" s="5">
        <v>245891</v>
      </c>
      <c r="AQ38" s="5">
        <v>245891</v>
      </c>
    </row>
    <row r="39" spans="1:43" x14ac:dyDescent="0.2">
      <c r="A39" s="4">
        <v>1979.1</v>
      </c>
      <c r="B39" s="5">
        <v>90682</v>
      </c>
      <c r="C39" s="54">
        <f t="shared" si="0"/>
        <v>89924.237600000008</v>
      </c>
      <c r="D39" s="5">
        <v>90690</v>
      </c>
      <c r="E39" s="5">
        <v>90384</v>
      </c>
      <c r="F39" s="54">
        <f t="shared" si="6"/>
        <v>90384</v>
      </c>
      <c r="G39" s="54">
        <f t="shared" si="6"/>
        <v>90384</v>
      </c>
      <c r="H39" s="5">
        <v>90384</v>
      </c>
      <c r="I39" s="5">
        <v>90384</v>
      </c>
      <c r="J39" s="5">
        <v>90384</v>
      </c>
      <c r="K39" s="5">
        <v>90384</v>
      </c>
      <c r="L39" s="54">
        <f t="shared" si="2"/>
        <v>90384</v>
      </c>
      <c r="M39" s="5">
        <v>177190</v>
      </c>
      <c r="N39" s="54">
        <f t="shared" si="3"/>
        <v>177190</v>
      </c>
      <c r="O39" s="5">
        <v>177217</v>
      </c>
      <c r="P39" s="5">
        <v>177217</v>
      </c>
      <c r="Q39" s="5">
        <v>177217</v>
      </c>
      <c r="R39" s="5">
        <v>176949</v>
      </c>
      <c r="S39" s="5">
        <v>176949</v>
      </c>
      <c r="T39" s="5">
        <v>176949</v>
      </c>
      <c r="U39" s="54">
        <f t="shared" si="4"/>
        <v>176949</v>
      </c>
      <c r="V39" s="5">
        <v>176949</v>
      </c>
      <c r="W39" s="5">
        <v>176949</v>
      </c>
      <c r="X39" s="5">
        <v>176949</v>
      </c>
      <c r="Y39" s="5">
        <v>176949</v>
      </c>
      <c r="Z39" s="5">
        <v>176949</v>
      </c>
      <c r="AA39" s="5">
        <v>176949</v>
      </c>
      <c r="AB39" s="5">
        <v>176949</v>
      </c>
      <c r="AC39" s="5">
        <v>176949</v>
      </c>
      <c r="AD39" s="5">
        <v>176949</v>
      </c>
      <c r="AE39" s="5">
        <v>176949</v>
      </c>
      <c r="AF39" s="5">
        <v>248650</v>
      </c>
      <c r="AG39" s="5">
        <v>247817</v>
      </c>
      <c r="AH39" s="5">
        <v>248833</v>
      </c>
      <c r="AI39" s="5">
        <v>248833</v>
      </c>
      <c r="AJ39" s="5">
        <v>248833</v>
      </c>
      <c r="AK39" s="5">
        <v>248833</v>
      </c>
      <c r="AL39" s="5">
        <v>248833</v>
      </c>
      <c r="AM39" s="5">
        <v>248833</v>
      </c>
      <c r="AN39" s="5">
        <v>248833</v>
      </c>
      <c r="AO39" s="5">
        <v>248833</v>
      </c>
      <c r="AP39" s="5">
        <v>248833</v>
      </c>
      <c r="AQ39" s="5">
        <v>248833</v>
      </c>
    </row>
    <row r="40" spans="1:43" x14ac:dyDescent="0.2">
      <c r="A40" s="4">
        <v>1979.2</v>
      </c>
      <c r="B40" s="5">
        <v>91378</v>
      </c>
      <c r="C40" s="54">
        <f t="shared" si="0"/>
        <v>90624.30720000001</v>
      </c>
      <c r="D40" s="5">
        <v>91406</v>
      </c>
      <c r="E40" s="5">
        <v>91712</v>
      </c>
      <c r="F40" s="54">
        <f t="shared" si="6"/>
        <v>91712</v>
      </c>
      <c r="G40" s="54">
        <f t="shared" si="6"/>
        <v>91712</v>
      </c>
      <c r="H40" s="5">
        <v>91712</v>
      </c>
      <c r="I40" s="5">
        <v>91712</v>
      </c>
      <c r="J40" s="5">
        <v>91712</v>
      </c>
      <c r="K40" s="5">
        <v>91712</v>
      </c>
      <c r="L40" s="54">
        <f t="shared" si="2"/>
        <v>91712</v>
      </c>
      <c r="M40" s="5">
        <v>179488</v>
      </c>
      <c r="N40" s="54">
        <f t="shared" si="3"/>
        <v>179488</v>
      </c>
      <c r="O40" s="5">
        <v>179424</v>
      </c>
      <c r="P40" s="5">
        <v>179424</v>
      </c>
      <c r="Q40" s="5">
        <v>179424</v>
      </c>
      <c r="R40" s="5">
        <v>179352</v>
      </c>
      <c r="S40" s="5">
        <v>179352</v>
      </c>
      <c r="T40" s="5">
        <v>179352</v>
      </c>
      <c r="U40" s="54">
        <f t="shared" si="4"/>
        <v>179352</v>
      </c>
      <c r="V40" s="5">
        <v>179352</v>
      </c>
      <c r="W40" s="5">
        <v>179352</v>
      </c>
      <c r="X40" s="5">
        <v>179352</v>
      </c>
      <c r="Y40" s="5">
        <v>179352</v>
      </c>
      <c r="Z40" s="5">
        <v>179352</v>
      </c>
      <c r="AA40" s="5">
        <v>179352</v>
      </c>
      <c r="AB40" s="5">
        <v>179352</v>
      </c>
      <c r="AC40" s="5">
        <v>179352</v>
      </c>
      <c r="AD40" s="5">
        <v>179352</v>
      </c>
      <c r="AE40" s="5">
        <v>179352</v>
      </c>
      <c r="AF40" s="5">
        <v>250671</v>
      </c>
      <c r="AG40" s="5">
        <v>249978</v>
      </c>
      <c r="AH40" s="5">
        <v>250148</v>
      </c>
      <c r="AI40" s="5">
        <v>250148</v>
      </c>
      <c r="AJ40" s="5">
        <v>250148</v>
      </c>
      <c r="AK40" s="5">
        <v>250148</v>
      </c>
      <c r="AL40" s="5">
        <v>250148</v>
      </c>
      <c r="AM40" s="5">
        <v>250148</v>
      </c>
      <c r="AN40" s="5">
        <v>250148</v>
      </c>
      <c r="AO40" s="5">
        <v>250148</v>
      </c>
      <c r="AP40" s="5">
        <v>250148</v>
      </c>
      <c r="AQ40" s="5">
        <v>250148</v>
      </c>
    </row>
    <row r="41" spans="1:43" x14ac:dyDescent="0.2">
      <c r="A41" s="4">
        <v>1979.3</v>
      </c>
      <c r="B41" s="5">
        <v>93719</v>
      </c>
      <c r="C41" s="54">
        <f t="shared" si="0"/>
        <v>92930.768800000005</v>
      </c>
      <c r="D41" s="5">
        <v>93717</v>
      </c>
      <c r="E41" s="5">
        <v>93991</v>
      </c>
      <c r="F41" s="54">
        <f t="shared" si="6"/>
        <v>93991</v>
      </c>
      <c r="G41" s="54">
        <f t="shared" si="6"/>
        <v>93991</v>
      </c>
      <c r="H41" s="5">
        <v>93991</v>
      </c>
      <c r="I41" s="5">
        <v>93991</v>
      </c>
      <c r="J41" s="5">
        <v>93991</v>
      </c>
      <c r="K41" s="5">
        <v>93991</v>
      </c>
      <c r="L41" s="54">
        <f t="shared" si="2"/>
        <v>93991</v>
      </c>
      <c r="M41" s="5">
        <v>183291</v>
      </c>
      <c r="N41" s="54">
        <f t="shared" si="3"/>
        <v>183291</v>
      </c>
      <c r="O41" s="5">
        <v>183337</v>
      </c>
      <c r="P41" s="5">
        <v>183337</v>
      </c>
      <c r="Q41" s="5">
        <v>183337</v>
      </c>
      <c r="R41" s="5">
        <v>183162</v>
      </c>
      <c r="S41" s="5">
        <v>183162</v>
      </c>
      <c r="T41" s="5">
        <v>183162</v>
      </c>
      <c r="U41" s="54">
        <f t="shared" si="4"/>
        <v>183162</v>
      </c>
      <c r="V41" s="5">
        <v>183162</v>
      </c>
      <c r="W41" s="5">
        <v>183162</v>
      </c>
      <c r="X41" s="5">
        <v>183162</v>
      </c>
      <c r="Y41" s="5">
        <v>183162</v>
      </c>
      <c r="Z41" s="5">
        <v>183162</v>
      </c>
      <c r="AA41" s="5">
        <v>183162</v>
      </c>
      <c r="AB41" s="5">
        <v>183162</v>
      </c>
      <c r="AC41" s="5">
        <v>183162</v>
      </c>
      <c r="AD41" s="5">
        <v>183162</v>
      </c>
      <c r="AE41" s="5">
        <v>183162</v>
      </c>
      <c r="AF41" s="5">
        <v>255285</v>
      </c>
      <c r="AG41" s="5">
        <v>255308</v>
      </c>
      <c r="AH41" s="5">
        <v>254448</v>
      </c>
      <c r="AI41" s="5">
        <v>254448</v>
      </c>
      <c r="AJ41" s="5">
        <v>254448</v>
      </c>
      <c r="AK41" s="5">
        <v>254448</v>
      </c>
      <c r="AL41" s="5">
        <v>254448</v>
      </c>
      <c r="AM41" s="5">
        <v>254448</v>
      </c>
      <c r="AN41" s="5">
        <v>254448</v>
      </c>
      <c r="AO41" s="5">
        <v>254448</v>
      </c>
      <c r="AP41" s="5">
        <v>254448</v>
      </c>
      <c r="AQ41" s="5">
        <v>254448</v>
      </c>
    </row>
    <row r="42" spans="1:43" x14ac:dyDescent="0.2">
      <c r="A42" s="4">
        <v>1979.4</v>
      </c>
      <c r="B42" s="5">
        <v>96133</v>
      </c>
      <c r="C42" s="54">
        <f t="shared" si="0"/>
        <v>95308.625599999999</v>
      </c>
      <c r="D42" s="5">
        <v>96099</v>
      </c>
      <c r="E42" s="5">
        <v>95826</v>
      </c>
      <c r="F42" s="54">
        <f t="shared" si="6"/>
        <v>95826</v>
      </c>
      <c r="G42" s="54">
        <f t="shared" si="6"/>
        <v>95826</v>
      </c>
      <c r="H42" s="5">
        <v>95826</v>
      </c>
      <c r="I42" s="5">
        <v>95826</v>
      </c>
      <c r="J42" s="5">
        <v>95826</v>
      </c>
      <c r="K42" s="5">
        <v>95826</v>
      </c>
      <c r="L42" s="54">
        <f t="shared" si="2"/>
        <v>95826</v>
      </c>
      <c r="M42" s="5">
        <v>186868</v>
      </c>
      <c r="N42" s="54">
        <f t="shared" si="3"/>
        <v>186868</v>
      </c>
      <c r="O42" s="5">
        <v>186861</v>
      </c>
      <c r="P42" s="5">
        <v>186861</v>
      </c>
      <c r="Q42" s="5">
        <v>186861</v>
      </c>
      <c r="R42" s="5">
        <v>186946</v>
      </c>
      <c r="S42" s="5">
        <v>186946</v>
      </c>
      <c r="T42" s="5">
        <v>186946</v>
      </c>
      <c r="U42" s="54">
        <f t="shared" si="4"/>
        <v>186946</v>
      </c>
      <c r="V42" s="5">
        <v>186946</v>
      </c>
      <c r="W42" s="5">
        <v>186946</v>
      </c>
      <c r="X42" s="5">
        <v>186946</v>
      </c>
      <c r="Y42" s="5">
        <v>186946</v>
      </c>
      <c r="Z42" s="5">
        <v>186946</v>
      </c>
      <c r="AA42" s="5">
        <v>186946</v>
      </c>
      <c r="AB42" s="5">
        <v>186946</v>
      </c>
      <c r="AC42" s="5">
        <v>186946</v>
      </c>
      <c r="AD42" s="5">
        <v>186946</v>
      </c>
      <c r="AE42" s="5">
        <v>186946</v>
      </c>
      <c r="AF42" s="5">
        <v>260591</v>
      </c>
      <c r="AG42" s="5">
        <v>262094</v>
      </c>
      <c r="AH42" s="5">
        <v>261768</v>
      </c>
      <c r="AI42" s="5">
        <v>261768</v>
      </c>
      <c r="AJ42" s="5">
        <v>261768</v>
      </c>
      <c r="AK42" s="5">
        <v>261768</v>
      </c>
      <c r="AL42" s="5">
        <v>261768</v>
      </c>
      <c r="AM42" s="5">
        <v>261768</v>
      </c>
      <c r="AN42" s="5">
        <v>261768</v>
      </c>
      <c r="AO42" s="5">
        <v>261768</v>
      </c>
      <c r="AP42" s="5">
        <v>261768</v>
      </c>
      <c r="AQ42" s="5">
        <v>261768</v>
      </c>
    </row>
    <row r="43" spans="1:43" x14ac:dyDescent="0.2">
      <c r="A43" s="4">
        <v>1980.1</v>
      </c>
      <c r="B43" s="5">
        <v>97562</v>
      </c>
      <c r="C43" s="54">
        <f t="shared" si="0"/>
        <v>96722.647200000007</v>
      </c>
      <c r="D43" s="5">
        <v>97522</v>
      </c>
      <c r="E43" s="5">
        <v>97216</v>
      </c>
      <c r="F43" s="54">
        <f t="shared" si="6"/>
        <v>97216</v>
      </c>
      <c r="G43" s="54">
        <f t="shared" si="6"/>
        <v>97216</v>
      </c>
      <c r="H43" s="5">
        <v>97216</v>
      </c>
      <c r="I43" s="5">
        <v>97216</v>
      </c>
      <c r="J43" s="5">
        <v>97216</v>
      </c>
      <c r="K43" s="5">
        <v>97216</v>
      </c>
      <c r="L43" s="54">
        <f t="shared" si="2"/>
        <v>97216</v>
      </c>
      <c r="M43" s="5">
        <v>189887</v>
      </c>
      <c r="N43" s="54">
        <f t="shared" si="3"/>
        <v>189887</v>
      </c>
      <c r="O43" s="5">
        <v>190069</v>
      </c>
      <c r="P43" s="5">
        <v>190069</v>
      </c>
      <c r="Q43" s="5">
        <v>190069</v>
      </c>
      <c r="R43" s="5">
        <v>189675</v>
      </c>
      <c r="S43" s="5">
        <v>189675</v>
      </c>
      <c r="T43" s="5">
        <v>189675</v>
      </c>
      <c r="U43" s="54">
        <f t="shared" si="4"/>
        <v>189675</v>
      </c>
      <c r="V43" s="5">
        <v>189675</v>
      </c>
      <c r="W43" s="5">
        <v>189675</v>
      </c>
      <c r="X43" s="5">
        <v>189675</v>
      </c>
      <c r="Y43" s="5">
        <v>189675</v>
      </c>
      <c r="Z43" s="5">
        <v>189675</v>
      </c>
      <c r="AA43" s="5">
        <v>189675</v>
      </c>
      <c r="AB43" s="5">
        <v>189675</v>
      </c>
      <c r="AC43" s="5">
        <v>189675</v>
      </c>
      <c r="AD43" s="5">
        <v>189675</v>
      </c>
      <c r="AE43" s="5">
        <v>189675</v>
      </c>
      <c r="AF43" s="5">
        <v>263605</v>
      </c>
      <c r="AG43" s="5">
        <v>264245</v>
      </c>
      <c r="AH43" s="5">
        <v>264158</v>
      </c>
      <c r="AI43" s="5">
        <v>264158</v>
      </c>
      <c r="AJ43" s="5">
        <v>264158</v>
      </c>
      <c r="AK43" s="5">
        <v>264158</v>
      </c>
      <c r="AL43" s="5">
        <v>264158</v>
      </c>
      <c r="AM43" s="5">
        <v>264158</v>
      </c>
      <c r="AN43" s="5">
        <v>264158</v>
      </c>
      <c r="AO43" s="5">
        <v>264158</v>
      </c>
      <c r="AP43" s="5">
        <v>264158</v>
      </c>
      <c r="AQ43" s="5">
        <v>264158</v>
      </c>
    </row>
    <row r="44" spans="1:43" x14ac:dyDescent="0.2">
      <c r="A44" s="4">
        <v>1980.2</v>
      </c>
      <c r="B44" s="5">
        <v>97065</v>
      </c>
      <c r="C44" s="54">
        <f t="shared" si="0"/>
        <v>96247.670800000007</v>
      </c>
      <c r="D44" s="5">
        <v>97061</v>
      </c>
      <c r="E44" s="5">
        <v>97364</v>
      </c>
      <c r="F44" s="54">
        <f t="shared" si="6"/>
        <v>97364</v>
      </c>
      <c r="G44" s="54">
        <f t="shared" si="6"/>
        <v>97364</v>
      </c>
      <c r="H44" s="5">
        <v>97364</v>
      </c>
      <c r="I44" s="5">
        <v>97364</v>
      </c>
      <c r="J44" s="5">
        <v>97364</v>
      </c>
      <c r="K44" s="5">
        <v>97364</v>
      </c>
      <c r="L44" s="54">
        <f t="shared" si="2"/>
        <v>97364</v>
      </c>
      <c r="M44" s="5">
        <v>189734</v>
      </c>
      <c r="N44" s="54">
        <f t="shared" si="3"/>
        <v>189734</v>
      </c>
      <c r="O44" s="5">
        <v>189748</v>
      </c>
      <c r="P44" s="5">
        <v>189748</v>
      </c>
      <c r="Q44" s="5">
        <v>189748</v>
      </c>
      <c r="R44" s="5">
        <v>189601</v>
      </c>
      <c r="S44" s="5">
        <v>189601</v>
      </c>
      <c r="T44" s="5">
        <v>189601</v>
      </c>
      <c r="U44" s="54">
        <f t="shared" si="4"/>
        <v>189601</v>
      </c>
      <c r="V44" s="5">
        <v>189601</v>
      </c>
      <c r="W44" s="5">
        <v>189601</v>
      </c>
      <c r="X44" s="5">
        <v>189601</v>
      </c>
      <c r="Y44" s="5">
        <v>189601</v>
      </c>
      <c r="Z44" s="5">
        <v>189601</v>
      </c>
      <c r="AA44" s="5">
        <v>189601</v>
      </c>
      <c r="AB44" s="5">
        <v>189601</v>
      </c>
      <c r="AC44" s="5">
        <v>189601</v>
      </c>
      <c r="AD44" s="5">
        <v>189601</v>
      </c>
      <c r="AE44" s="5">
        <v>189601</v>
      </c>
      <c r="AF44" s="5">
        <v>263343</v>
      </c>
      <c r="AG44" s="5">
        <v>264143</v>
      </c>
      <c r="AH44" s="5">
        <v>263883</v>
      </c>
      <c r="AI44" s="5">
        <v>263883</v>
      </c>
      <c r="AJ44" s="5">
        <v>263883</v>
      </c>
      <c r="AK44" s="5">
        <v>263883</v>
      </c>
      <c r="AL44" s="5">
        <v>263883</v>
      </c>
      <c r="AM44" s="5">
        <v>263883</v>
      </c>
      <c r="AN44" s="5">
        <v>263883</v>
      </c>
      <c r="AO44" s="5">
        <v>263883</v>
      </c>
      <c r="AP44" s="5">
        <v>263883</v>
      </c>
      <c r="AQ44" s="5">
        <v>263883</v>
      </c>
    </row>
    <row r="45" spans="1:43" x14ac:dyDescent="0.2">
      <c r="A45" s="4">
        <v>1980.3</v>
      </c>
      <c r="B45" s="5">
        <v>96076</v>
      </c>
      <c r="C45" s="54">
        <f t="shared" si="0"/>
        <v>95286.314599999998</v>
      </c>
      <c r="D45" s="5">
        <v>96111</v>
      </c>
      <c r="E45" s="5">
        <v>96468</v>
      </c>
      <c r="F45" s="54">
        <f t="shared" si="6"/>
        <v>96468</v>
      </c>
      <c r="G45" s="54">
        <f t="shared" si="6"/>
        <v>96468</v>
      </c>
      <c r="H45" s="5">
        <v>96468</v>
      </c>
      <c r="I45" s="5">
        <v>96468</v>
      </c>
      <c r="J45" s="5">
        <v>96468</v>
      </c>
      <c r="K45" s="5">
        <v>96468</v>
      </c>
      <c r="L45" s="54">
        <f t="shared" si="2"/>
        <v>96468</v>
      </c>
      <c r="M45" s="5">
        <v>188162</v>
      </c>
      <c r="N45" s="54">
        <f t="shared" si="3"/>
        <v>188162</v>
      </c>
      <c r="O45" s="5">
        <v>188238</v>
      </c>
      <c r="P45" s="5">
        <v>188238</v>
      </c>
      <c r="Q45" s="5">
        <v>188238</v>
      </c>
      <c r="R45" s="5">
        <v>188217</v>
      </c>
      <c r="S45" s="5">
        <v>188217</v>
      </c>
      <c r="T45" s="5">
        <v>188217</v>
      </c>
      <c r="U45" s="54">
        <f t="shared" si="4"/>
        <v>188217</v>
      </c>
      <c r="V45" s="5">
        <v>188217</v>
      </c>
      <c r="W45" s="5">
        <v>188217</v>
      </c>
      <c r="X45" s="5">
        <v>188217</v>
      </c>
      <c r="Y45" s="5">
        <v>188217</v>
      </c>
      <c r="Z45" s="5">
        <v>188217</v>
      </c>
      <c r="AA45" s="5">
        <v>188217</v>
      </c>
      <c r="AB45" s="5">
        <v>188217</v>
      </c>
      <c r="AC45" s="5">
        <v>188217</v>
      </c>
      <c r="AD45" s="5">
        <v>188217</v>
      </c>
      <c r="AE45" s="5">
        <v>188217</v>
      </c>
      <c r="AF45" s="5">
        <v>261813</v>
      </c>
      <c r="AG45" s="5">
        <v>259849</v>
      </c>
      <c r="AH45" s="5">
        <v>261165</v>
      </c>
      <c r="AI45" s="5">
        <v>261165</v>
      </c>
      <c r="AJ45" s="5">
        <v>261165</v>
      </c>
      <c r="AK45" s="5">
        <v>261165</v>
      </c>
      <c r="AL45" s="5">
        <v>261165</v>
      </c>
      <c r="AM45" s="5">
        <v>261165</v>
      </c>
      <c r="AN45" s="5">
        <v>261165</v>
      </c>
      <c r="AO45" s="5">
        <v>261165</v>
      </c>
      <c r="AP45" s="5">
        <v>261165</v>
      </c>
      <c r="AQ45" s="5">
        <v>261165</v>
      </c>
    </row>
    <row r="46" spans="1:43" x14ac:dyDescent="0.2">
      <c r="A46" s="4">
        <v>1980.4</v>
      </c>
      <c r="B46" s="5">
        <v>96966</v>
      </c>
      <c r="C46" s="54">
        <f t="shared" si="0"/>
        <v>96155.947800000009</v>
      </c>
      <c r="D46" s="5">
        <v>96975</v>
      </c>
      <c r="E46" s="5">
        <v>96621</v>
      </c>
      <c r="F46" s="54">
        <f t="shared" si="6"/>
        <v>96621</v>
      </c>
      <c r="G46" s="54">
        <f t="shared" si="6"/>
        <v>96621</v>
      </c>
      <c r="H46" s="5">
        <v>96621</v>
      </c>
      <c r="I46" s="5">
        <v>96621</v>
      </c>
      <c r="J46" s="5">
        <v>96621</v>
      </c>
      <c r="K46" s="5">
        <v>96621</v>
      </c>
      <c r="L46" s="54">
        <f t="shared" si="2"/>
        <v>96621</v>
      </c>
      <c r="M46" s="5">
        <v>188415</v>
      </c>
      <c r="N46" s="54">
        <f t="shared" si="3"/>
        <v>188415</v>
      </c>
      <c r="O46" s="5">
        <v>188142</v>
      </c>
      <c r="P46" s="5">
        <v>188142</v>
      </c>
      <c r="Q46" s="5">
        <v>188142</v>
      </c>
      <c r="R46" s="5">
        <v>188705</v>
      </c>
      <c r="S46" s="5">
        <v>188705</v>
      </c>
      <c r="T46" s="5">
        <v>188705</v>
      </c>
      <c r="U46" s="54">
        <f t="shared" si="4"/>
        <v>188705</v>
      </c>
      <c r="V46" s="5">
        <v>188705</v>
      </c>
      <c r="W46" s="5">
        <v>188705</v>
      </c>
      <c r="X46" s="5">
        <v>188705</v>
      </c>
      <c r="Y46" s="5">
        <v>188705</v>
      </c>
      <c r="Z46" s="5">
        <v>188705</v>
      </c>
      <c r="AA46" s="5">
        <v>188705</v>
      </c>
      <c r="AB46" s="5">
        <v>188705</v>
      </c>
      <c r="AC46" s="5">
        <v>188705</v>
      </c>
      <c r="AD46" s="5">
        <v>188705</v>
      </c>
      <c r="AE46" s="5">
        <v>188705</v>
      </c>
      <c r="AF46" s="5">
        <v>262281</v>
      </c>
      <c r="AG46" s="5">
        <v>262806</v>
      </c>
      <c r="AH46" s="5">
        <v>261835</v>
      </c>
      <c r="AI46" s="5">
        <v>261835</v>
      </c>
      <c r="AJ46" s="5">
        <v>261835</v>
      </c>
      <c r="AK46" s="5">
        <v>261835</v>
      </c>
      <c r="AL46" s="5">
        <v>261835</v>
      </c>
      <c r="AM46" s="5">
        <v>261835</v>
      </c>
      <c r="AN46" s="5">
        <v>261835</v>
      </c>
      <c r="AO46" s="5">
        <v>261835</v>
      </c>
      <c r="AP46" s="5">
        <v>261835</v>
      </c>
      <c r="AQ46" s="5">
        <v>261835</v>
      </c>
    </row>
    <row r="47" spans="1:43" x14ac:dyDescent="0.2">
      <c r="A47" s="4">
        <v>1981.1</v>
      </c>
      <c r="B47" s="5">
        <v>96182</v>
      </c>
      <c r="C47" s="54">
        <f t="shared" si="0"/>
        <v>95382.995600000009</v>
      </c>
      <c r="D47" s="5">
        <v>96200</v>
      </c>
      <c r="E47" s="5">
        <v>97270</v>
      </c>
      <c r="F47" s="54">
        <f t="shared" si="6"/>
        <v>97270</v>
      </c>
      <c r="G47" s="54">
        <f t="shared" si="6"/>
        <v>97270</v>
      </c>
      <c r="H47" s="5">
        <v>97270</v>
      </c>
      <c r="I47" s="5">
        <v>97270</v>
      </c>
      <c r="J47" s="5">
        <v>97270</v>
      </c>
      <c r="K47" s="5">
        <v>97270</v>
      </c>
      <c r="L47" s="54">
        <f t="shared" si="2"/>
        <v>97270</v>
      </c>
      <c r="M47" s="5">
        <v>188910</v>
      </c>
      <c r="N47" s="54">
        <f t="shared" si="3"/>
        <v>188910</v>
      </c>
      <c r="O47" s="5">
        <v>188651</v>
      </c>
      <c r="P47" s="5">
        <v>188651</v>
      </c>
      <c r="Q47" s="5">
        <v>188651</v>
      </c>
      <c r="R47" s="5">
        <v>189268</v>
      </c>
      <c r="S47" s="5">
        <v>189268</v>
      </c>
      <c r="T47" s="5">
        <v>189268</v>
      </c>
      <c r="U47" s="54">
        <f t="shared" si="4"/>
        <v>189268</v>
      </c>
      <c r="V47" s="5">
        <v>189268</v>
      </c>
      <c r="W47" s="5">
        <v>189268</v>
      </c>
      <c r="X47" s="5">
        <v>189268</v>
      </c>
      <c r="Y47" s="5">
        <v>189268</v>
      </c>
      <c r="Z47" s="5">
        <v>189268</v>
      </c>
      <c r="AA47" s="5">
        <v>189268</v>
      </c>
      <c r="AB47" s="5">
        <v>189268</v>
      </c>
      <c r="AC47" s="5">
        <v>189268</v>
      </c>
      <c r="AD47" s="5">
        <v>189268</v>
      </c>
      <c r="AE47" s="5">
        <v>189268</v>
      </c>
      <c r="AF47" s="5">
        <v>262315</v>
      </c>
      <c r="AG47" s="5">
        <v>263318</v>
      </c>
      <c r="AH47" s="5">
        <v>261412</v>
      </c>
      <c r="AI47" s="5">
        <v>261412</v>
      </c>
      <c r="AJ47" s="5">
        <v>261412</v>
      </c>
      <c r="AK47" s="5">
        <v>261412</v>
      </c>
      <c r="AL47" s="5">
        <v>261412</v>
      </c>
      <c r="AM47" s="5">
        <v>261412</v>
      </c>
      <c r="AN47" s="5">
        <v>261412</v>
      </c>
      <c r="AO47" s="5">
        <v>261412</v>
      </c>
      <c r="AP47" s="5">
        <v>261412</v>
      </c>
      <c r="AQ47" s="5">
        <v>261412</v>
      </c>
    </row>
    <row r="48" spans="1:43" x14ac:dyDescent="0.2">
      <c r="A48" s="4">
        <v>1981.2</v>
      </c>
      <c r="B48" s="5">
        <v>98270</v>
      </c>
      <c r="C48" s="54">
        <f t="shared" si="0"/>
        <v>97427.179000000004</v>
      </c>
      <c r="D48" s="5">
        <v>98235</v>
      </c>
      <c r="E48" s="5">
        <v>98292</v>
      </c>
      <c r="F48" s="54">
        <f t="shared" si="6"/>
        <v>98292</v>
      </c>
      <c r="G48" s="54">
        <f t="shared" si="6"/>
        <v>98292</v>
      </c>
      <c r="H48" s="5">
        <v>98292</v>
      </c>
      <c r="I48" s="5">
        <v>98292</v>
      </c>
      <c r="J48" s="5">
        <v>98292</v>
      </c>
      <c r="K48" s="5">
        <v>98292</v>
      </c>
      <c r="L48" s="54">
        <f t="shared" si="2"/>
        <v>98292</v>
      </c>
      <c r="M48" s="5">
        <v>190428</v>
      </c>
      <c r="N48" s="54">
        <f t="shared" si="3"/>
        <v>190428</v>
      </c>
      <c r="O48" s="5">
        <v>190310</v>
      </c>
      <c r="P48" s="5">
        <v>190310</v>
      </c>
      <c r="Q48" s="5">
        <v>190310</v>
      </c>
      <c r="R48" s="5">
        <v>190628</v>
      </c>
      <c r="S48" s="5">
        <v>190628</v>
      </c>
      <c r="T48" s="5">
        <v>190628</v>
      </c>
      <c r="U48" s="54">
        <f t="shared" si="4"/>
        <v>190628</v>
      </c>
      <c r="V48" s="5">
        <v>190628</v>
      </c>
      <c r="W48" s="5">
        <v>190628</v>
      </c>
      <c r="X48" s="5">
        <v>190628</v>
      </c>
      <c r="Y48" s="5">
        <v>190628</v>
      </c>
      <c r="Z48" s="5">
        <v>190628</v>
      </c>
      <c r="AA48" s="5">
        <v>190628</v>
      </c>
      <c r="AB48" s="5">
        <v>190628</v>
      </c>
      <c r="AC48" s="5">
        <v>190628</v>
      </c>
      <c r="AD48" s="5">
        <v>190628</v>
      </c>
      <c r="AE48" s="5">
        <v>190628</v>
      </c>
      <c r="AF48" s="5">
        <v>265363</v>
      </c>
      <c r="AG48" s="5">
        <v>266164</v>
      </c>
      <c r="AH48" s="5">
        <v>264612</v>
      </c>
      <c r="AI48" s="5">
        <v>264612</v>
      </c>
      <c r="AJ48" s="5">
        <v>264612</v>
      </c>
      <c r="AK48" s="5">
        <v>264612</v>
      </c>
      <c r="AL48" s="5">
        <v>264612</v>
      </c>
      <c r="AM48" s="5">
        <v>264612</v>
      </c>
      <c r="AN48" s="5">
        <v>264612</v>
      </c>
      <c r="AO48" s="5">
        <v>264612</v>
      </c>
      <c r="AP48" s="5">
        <v>264612</v>
      </c>
      <c r="AQ48" s="5">
        <v>264612</v>
      </c>
    </row>
    <row r="49" spans="1:43" x14ac:dyDescent="0.2">
      <c r="A49" s="4">
        <v>1981.3</v>
      </c>
      <c r="B49" s="5">
        <v>97534</v>
      </c>
      <c r="C49" s="54">
        <f t="shared" si="0"/>
        <v>96720.664000000004</v>
      </c>
      <c r="D49" s="5">
        <v>97546</v>
      </c>
      <c r="E49" s="5">
        <v>97615</v>
      </c>
      <c r="F49" s="54">
        <f t="shared" si="6"/>
        <v>97615</v>
      </c>
      <c r="G49" s="54">
        <f t="shared" si="6"/>
        <v>97615</v>
      </c>
      <c r="H49" s="5">
        <v>97615</v>
      </c>
      <c r="I49" s="5">
        <v>97615</v>
      </c>
      <c r="J49" s="5">
        <v>97615</v>
      </c>
      <c r="K49" s="5">
        <v>97615</v>
      </c>
      <c r="L49" s="54">
        <f t="shared" si="2"/>
        <v>97615</v>
      </c>
      <c r="M49" s="5">
        <v>189972</v>
      </c>
      <c r="N49" s="54">
        <f t="shared" si="3"/>
        <v>189972</v>
      </c>
      <c r="O49" s="5">
        <v>190147</v>
      </c>
      <c r="P49" s="5">
        <v>190147</v>
      </c>
      <c r="Q49" s="5">
        <v>190147</v>
      </c>
      <c r="R49" s="5">
        <v>189942</v>
      </c>
      <c r="S49" s="5">
        <v>189942</v>
      </c>
      <c r="T49" s="5">
        <v>189942</v>
      </c>
      <c r="U49" s="54">
        <f t="shared" si="4"/>
        <v>189942</v>
      </c>
      <c r="V49" s="5">
        <v>189942</v>
      </c>
      <c r="W49" s="5">
        <v>189942</v>
      </c>
      <c r="X49" s="5">
        <v>189942</v>
      </c>
      <c r="Y49" s="5">
        <v>189942</v>
      </c>
      <c r="Z49" s="5">
        <v>189942</v>
      </c>
      <c r="AA49" s="5">
        <v>189942</v>
      </c>
      <c r="AB49" s="5">
        <v>189942</v>
      </c>
      <c r="AC49" s="5">
        <v>189942</v>
      </c>
      <c r="AD49" s="5">
        <v>189942</v>
      </c>
      <c r="AE49" s="5">
        <v>189942</v>
      </c>
      <c r="AF49" s="5">
        <v>262798</v>
      </c>
      <c r="AG49" s="5">
        <v>261214</v>
      </c>
      <c r="AH49" s="5">
        <v>264836</v>
      </c>
      <c r="AI49" s="5">
        <v>264836</v>
      </c>
      <c r="AJ49" s="5">
        <v>264836</v>
      </c>
      <c r="AK49" s="5">
        <v>264836</v>
      </c>
      <c r="AL49" s="5">
        <v>264836</v>
      </c>
      <c r="AM49" s="5">
        <v>264836</v>
      </c>
      <c r="AN49" s="5">
        <v>264836</v>
      </c>
      <c r="AO49" s="5">
        <v>264836</v>
      </c>
      <c r="AP49" s="5">
        <v>264836</v>
      </c>
      <c r="AQ49" s="5">
        <v>264836</v>
      </c>
    </row>
    <row r="50" spans="1:43" x14ac:dyDescent="0.2">
      <c r="A50" s="4">
        <v>1981.4</v>
      </c>
      <c r="B50" s="5">
        <v>99400</v>
      </c>
      <c r="C50" s="54">
        <f t="shared" si="0"/>
        <v>98567.519</v>
      </c>
      <c r="D50" s="5">
        <v>99405</v>
      </c>
      <c r="E50" s="5">
        <v>98209</v>
      </c>
      <c r="F50" s="54">
        <f t="shared" si="6"/>
        <v>98209</v>
      </c>
      <c r="G50" s="54">
        <f t="shared" si="6"/>
        <v>98209</v>
      </c>
      <c r="H50" s="5">
        <v>98209</v>
      </c>
      <c r="I50" s="5">
        <v>98209</v>
      </c>
      <c r="J50" s="5">
        <v>98209</v>
      </c>
      <c r="K50" s="5">
        <v>98209</v>
      </c>
      <c r="L50" s="54">
        <f t="shared" si="2"/>
        <v>98209</v>
      </c>
      <c r="M50" s="5">
        <v>191055</v>
      </c>
      <c r="N50" s="54">
        <f t="shared" si="3"/>
        <v>191055</v>
      </c>
      <c r="O50" s="5">
        <v>191258</v>
      </c>
      <c r="P50" s="5">
        <v>191258</v>
      </c>
      <c r="Q50" s="5">
        <v>191258</v>
      </c>
      <c r="R50" s="5">
        <v>190529</v>
      </c>
      <c r="S50" s="5">
        <v>190529</v>
      </c>
      <c r="T50" s="5">
        <v>190529</v>
      </c>
      <c r="U50" s="54">
        <f t="shared" si="4"/>
        <v>190529</v>
      </c>
      <c r="V50" s="5">
        <v>190529</v>
      </c>
      <c r="W50" s="5">
        <v>190529</v>
      </c>
      <c r="X50" s="5">
        <v>190529</v>
      </c>
      <c r="Y50" s="5">
        <v>190529</v>
      </c>
      <c r="Z50" s="5">
        <v>190529</v>
      </c>
      <c r="AA50" s="5">
        <v>190529</v>
      </c>
      <c r="AB50" s="5">
        <v>190529</v>
      </c>
      <c r="AC50" s="5">
        <v>190529</v>
      </c>
      <c r="AD50" s="5">
        <v>190529</v>
      </c>
      <c r="AE50" s="5">
        <v>190529</v>
      </c>
      <c r="AF50" s="5">
        <v>265546</v>
      </c>
      <c r="AG50" s="5">
        <v>265327</v>
      </c>
      <c r="AH50" s="5">
        <v>265163</v>
      </c>
      <c r="AI50" s="5">
        <v>265163</v>
      </c>
      <c r="AJ50" s="5">
        <v>265163</v>
      </c>
      <c r="AK50" s="5">
        <v>265163</v>
      </c>
      <c r="AL50" s="5">
        <v>265163</v>
      </c>
      <c r="AM50" s="5">
        <v>265163</v>
      </c>
      <c r="AN50" s="5">
        <v>265163</v>
      </c>
      <c r="AO50" s="5">
        <v>265163</v>
      </c>
      <c r="AP50" s="5">
        <v>265163</v>
      </c>
      <c r="AQ50" s="5">
        <v>265163</v>
      </c>
    </row>
    <row r="51" spans="1:43" x14ac:dyDescent="0.2">
      <c r="A51" s="4">
        <v>1982.1</v>
      </c>
      <c r="B51" s="5">
        <v>98936</v>
      </c>
      <c r="C51" s="54">
        <f t="shared" si="0"/>
        <v>98147.080600000001</v>
      </c>
      <c r="D51" s="5">
        <v>99021</v>
      </c>
      <c r="E51" s="5">
        <v>98509</v>
      </c>
      <c r="F51" s="54">
        <f t="shared" ref="F51:G66" si="7">E51</f>
        <v>98509</v>
      </c>
      <c r="G51" s="54">
        <f t="shared" si="7"/>
        <v>98509</v>
      </c>
      <c r="H51" s="5">
        <v>98509</v>
      </c>
      <c r="I51" s="5">
        <v>98509</v>
      </c>
      <c r="J51" s="5">
        <v>98509</v>
      </c>
      <c r="K51" s="5">
        <v>98509</v>
      </c>
      <c r="L51" s="54">
        <f t="shared" si="2"/>
        <v>98509</v>
      </c>
      <c r="M51" s="5">
        <v>191868</v>
      </c>
      <c r="N51" s="54">
        <f t="shared" si="3"/>
        <v>191868</v>
      </c>
      <c r="O51" s="5">
        <v>191675</v>
      </c>
      <c r="P51" s="5">
        <v>191675</v>
      </c>
      <c r="Q51" s="5">
        <v>191675</v>
      </c>
      <c r="R51" s="5">
        <v>191738</v>
      </c>
      <c r="S51" s="5">
        <v>191738</v>
      </c>
      <c r="T51" s="5">
        <v>191738</v>
      </c>
      <c r="U51" s="54">
        <f t="shared" si="4"/>
        <v>191738</v>
      </c>
      <c r="V51" s="5">
        <v>191738</v>
      </c>
      <c r="W51" s="5">
        <v>191738</v>
      </c>
      <c r="X51" s="5">
        <v>191738</v>
      </c>
      <c r="Y51" s="5">
        <v>191738</v>
      </c>
      <c r="Z51" s="5">
        <v>191738</v>
      </c>
      <c r="AA51" s="5">
        <v>191738</v>
      </c>
      <c r="AB51" s="5">
        <v>191738</v>
      </c>
      <c r="AC51" s="5">
        <v>191738</v>
      </c>
      <c r="AD51" s="5">
        <v>191738</v>
      </c>
      <c r="AE51" s="5">
        <v>191738</v>
      </c>
      <c r="AF51" s="5">
        <v>265758</v>
      </c>
      <c r="AG51" s="5">
        <v>266391</v>
      </c>
      <c r="AH51" s="5">
        <v>265556</v>
      </c>
      <c r="AI51" s="5">
        <v>265556</v>
      </c>
      <c r="AJ51" s="5">
        <v>265556</v>
      </c>
      <c r="AK51" s="5">
        <v>265556</v>
      </c>
      <c r="AL51" s="5">
        <v>265556</v>
      </c>
      <c r="AM51" s="5">
        <v>265556</v>
      </c>
      <c r="AN51" s="5">
        <v>265556</v>
      </c>
      <c r="AO51" s="5">
        <v>265556</v>
      </c>
      <c r="AP51" s="5">
        <v>265556</v>
      </c>
      <c r="AQ51" s="5">
        <v>265556</v>
      </c>
    </row>
    <row r="52" spans="1:43" x14ac:dyDescent="0.2">
      <c r="A52" s="4">
        <v>1982.2</v>
      </c>
      <c r="B52" s="5">
        <v>98716</v>
      </c>
      <c r="C52" s="54">
        <f t="shared" si="0"/>
        <v>97924.466400000005</v>
      </c>
      <c r="D52" s="5">
        <v>98792</v>
      </c>
      <c r="E52" s="5">
        <v>98486</v>
      </c>
      <c r="F52" s="54">
        <f t="shared" si="7"/>
        <v>98486</v>
      </c>
      <c r="G52" s="54">
        <f t="shared" si="7"/>
        <v>98486</v>
      </c>
      <c r="H52" s="5">
        <v>98486</v>
      </c>
      <c r="I52" s="5">
        <v>98486</v>
      </c>
      <c r="J52" s="5">
        <v>98486</v>
      </c>
      <c r="K52" s="5">
        <v>98486</v>
      </c>
      <c r="L52" s="54">
        <f t="shared" si="2"/>
        <v>98486</v>
      </c>
      <c r="M52" s="5">
        <v>191388</v>
      </c>
      <c r="N52" s="54">
        <f t="shared" si="3"/>
        <v>191388</v>
      </c>
      <c r="O52" s="5">
        <v>191436</v>
      </c>
      <c r="P52" s="5">
        <v>191436</v>
      </c>
      <c r="Q52" s="5">
        <v>191436</v>
      </c>
      <c r="R52" s="5">
        <v>191619</v>
      </c>
      <c r="S52" s="5">
        <v>191619</v>
      </c>
      <c r="T52" s="5">
        <v>191619</v>
      </c>
      <c r="U52" s="54">
        <f t="shared" si="4"/>
        <v>191619</v>
      </c>
      <c r="V52" s="5">
        <v>191619</v>
      </c>
      <c r="W52" s="5">
        <v>191619</v>
      </c>
      <c r="X52" s="5">
        <v>191619</v>
      </c>
      <c r="Y52" s="5">
        <v>191619</v>
      </c>
      <c r="Z52" s="5">
        <v>191619</v>
      </c>
      <c r="AA52" s="5">
        <v>191619</v>
      </c>
      <c r="AB52" s="5">
        <v>191619</v>
      </c>
      <c r="AC52" s="5">
        <v>191619</v>
      </c>
      <c r="AD52" s="5">
        <v>191619</v>
      </c>
      <c r="AE52" s="5">
        <v>191619</v>
      </c>
      <c r="AF52" s="5">
        <v>266165</v>
      </c>
      <c r="AG52" s="5">
        <v>266844</v>
      </c>
      <c r="AH52" s="5">
        <v>266214</v>
      </c>
      <c r="AI52" s="5">
        <v>266214</v>
      </c>
      <c r="AJ52" s="5">
        <v>266214</v>
      </c>
      <c r="AK52" s="5">
        <v>266214</v>
      </c>
      <c r="AL52" s="5">
        <v>266214</v>
      </c>
      <c r="AM52" s="5">
        <v>266214</v>
      </c>
      <c r="AN52" s="5">
        <v>266214</v>
      </c>
      <c r="AO52" s="5">
        <v>266214</v>
      </c>
      <c r="AP52" s="5">
        <v>266214</v>
      </c>
      <c r="AQ52" s="5">
        <v>266214</v>
      </c>
    </row>
    <row r="53" spans="1:43" x14ac:dyDescent="0.2">
      <c r="A53" s="4">
        <v>1982.3</v>
      </c>
      <c r="B53" s="5">
        <v>97168</v>
      </c>
      <c r="C53" s="54">
        <f t="shared" si="0"/>
        <v>96362.200599999996</v>
      </c>
      <c r="D53" s="5">
        <v>97189</v>
      </c>
      <c r="E53" s="5">
        <v>97602</v>
      </c>
      <c r="F53" s="54">
        <f t="shared" si="7"/>
        <v>97602</v>
      </c>
      <c r="G53" s="54">
        <f t="shared" si="7"/>
        <v>97602</v>
      </c>
      <c r="H53" s="5">
        <v>97602</v>
      </c>
      <c r="I53" s="5">
        <v>97602</v>
      </c>
      <c r="J53" s="5">
        <v>97602</v>
      </c>
      <c r="K53" s="5">
        <v>97602</v>
      </c>
      <c r="L53" s="54">
        <f t="shared" si="2"/>
        <v>97602</v>
      </c>
      <c r="M53" s="5">
        <v>188985</v>
      </c>
      <c r="N53" s="54">
        <f t="shared" si="3"/>
        <v>188985</v>
      </c>
      <c r="O53" s="5">
        <v>189132</v>
      </c>
      <c r="P53" s="5">
        <v>189132</v>
      </c>
      <c r="Q53" s="5">
        <v>189132</v>
      </c>
      <c r="R53" s="5">
        <v>188984</v>
      </c>
      <c r="S53" s="5">
        <v>188984</v>
      </c>
      <c r="T53" s="5">
        <v>188984</v>
      </c>
      <c r="U53" s="54">
        <f t="shared" si="4"/>
        <v>188984</v>
      </c>
      <c r="V53" s="5">
        <v>188984</v>
      </c>
      <c r="W53" s="5">
        <v>188984</v>
      </c>
      <c r="X53" s="5">
        <v>188984</v>
      </c>
      <c r="Y53" s="5">
        <v>188984</v>
      </c>
      <c r="Z53" s="5">
        <v>188984</v>
      </c>
      <c r="AA53" s="5">
        <v>188984</v>
      </c>
      <c r="AB53" s="5">
        <v>188984</v>
      </c>
      <c r="AC53" s="5">
        <v>188984</v>
      </c>
      <c r="AD53" s="5">
        <v>188984</v>
      </c>
      <c r="AE53" s="5">
        <v>188984</v>
      </c>
      <c r="AF53" s="5">
        <v>263554</v>
      </c>
      <c r="AG53" s="5">
        <v>262128</v>
      </c>
      <c r="AH53" s="5">
        <v>264634</v>
      </c>
      <c r="AI53" s="5">
        <v>264634</v>
      </c>
      <c r="AJ53" s="5">
        <v>264634</v>
      </c>
      <c r="AK53" s="5">
        <v>264634</v>
      </c>
      <c r="AL53" s="5">
        <v>264634</v>
      </c>
      <c r="AM53" s="5">
        <v>264634</v>
      </c>
      <c r="AN53" s="5">
        <v>264634</v>
      </c>
      <c r="AO53" s="5">
        <v>264634</v>
      </c>
      <c r="AP53" s="5">
        <v>264634</v>
      </c>
      <c r="AQ53" s="5">
        <v>264634</v>
      </c>
    </row>
    <row r="54" spans="1:43" x14ac:dyDescent="0.2">
      <c r="A54" s="4">
        <v>1982.4</v>
      </c>
      <c r="B54" s="5">
        <v>97840</v>
      </c>
      <c r="C54" s="54">
        <f t="shared" si="0"/>
        <v>96927.9084</v>
      </c>
      <c r="D54" s="5">
        <v>97658</v>
      </c>
      <c r="E54" s="5">
        <v>98062</v>
      </c>
      <c r="F54" s="54">
        <f t="shared" si="7"/>
        <v>98062</v>
      </c>
      <c r="G54" s="54">
        <f t="shared" si="7"/>
        <v>98062</v>
      </c>
      <c r="H54" s="5">
        <v>98062</v>
      </c>
      <c r="I54" s="5">
        <v>98062</v>
      </c>
      <c r="J54" s="5">
        <v>98062</v>
      </c>
      <c r="K54" s="5">
        <v>98062</v>
      </c>
      <c r="L54" s="54">
        <f t="shared" si="2"/>
        <v>98062</v>
      </c>
      <c r="M54" s="5">
        <v>189749</v>
      </c>
      <c r="N54" s="54">
        <f t="shared" si="3"/>
        <v>189749</v>
      </c>
      <c r="O54" s="5">
        <v>189748</v>
      </c>
      <c r="P54" s="5">
        <v>189748</v>
      </c>
      <c r="Q54" s="5">
        <v>189748</v>
      </c>
      <c r="R54" s="5">
        <v>189650</v>
      </c>
      <c r="S54" s="5">
        <v>189650</v>
      </c>
      <c r="T54" s="5">
        <v>189650</v>
      </c>
      <c r="U54" s="54">
        <f t="shared" si="4"/>
        <v>189650</v>
      </c>
      <c r="V54" s="5">
        <v>189650</v>
      </c>
      <c r="W54" s="5">
        <v>189650</v>
      </c>
      <c r="X54" s="5">
        <v>189650</v>
      </c>
      <c r="Y54" s="5">
        <v>189650</v>
      </c>
      <c r="Z54" s="5">
        <v>189650</v>
      </c>
      <c r="AA54" s="5">
        <v>189650</v>
      </c>
      <c r="AB54" s="5">
        <v>189650</v>
      </c>
      <c r="AC54" s="5">
        <v>189650</v>
      </c>
      <c r="AD54" s="5">
        <v>189650</v>
      </c>
      <c r="AE54" s="5">
        <v>189650</v>
      </c>
      <c r="AF54" s="5">
        <v>265382</v>
      </c>
      <c r="AG54" s="5">
        <v>265496</v>
      </c>
      <c r="AH54" s="5">
        <v>264456</v>
      </c>
      <c r="AI54" s="5">
        <v>264456</v>
      </c>
      <c r="AJ54" s="5">
        <v>264456</v>
      </c>
      <c r="AK54" s="5">
        <v>264456</v>
      </c>
      <c r="AL54" s="5">
        <v>264456</v>
      </c>
      <c r="AM54" s="5">
        <v>264456</v>
      </c>
      <c r="AN54" s="5">
        <v>264456</v>
      </c>
      <c r="AO54" s="5">
        <v>264456</v>
      </c>
      <c r="AP54" s="5">
        <v>264456</v>
      </c>
      <c r="AQ54" s="5">
        <v>264456</v>
      </c>
    </row>
    <row r="55" spans="1:43" x14ac:dyDescent="0.2">
      <c r="A55" s="4">
        <v>1983.1</v>
      </c>
      <c r="B55" s="5">
        <v>98523</v>
      </c>
      <c r="C55" s="54">
        <f t="shared" si="0"/>
        <v>97458.414400000009</v>
      </c>
      <c r="D55" s="5">
        <v>98045</v>
      </c>
      <c r="E55" s="5">
        <v>98576</v>
      </c>
      <c r="F55" s="54">
        <f t="shared" si="7"/>
        <v>98576</v>
      </c>
      <c r="G55" s="54">
        <f t="shared" si="7"/>
        <v>98576</v>
      </c>
      <c r="H55" s="5">
        <v>98576</v>
      </c>
      <c r="I55" s="5">
        <v>98576</v>
      </c>
      <c r="J55" s="5">
        <v>98576</v>
      </c>
      <c r="K55" s="5">
        <v>98576</v>
      </c>
      <c r="L55" s="54">
        <f t="shared" si="2"/>
        <v>98576</v>
      </c>
      <c r="M55" s="5">
        <v>190776</v>
      </c>
      <c r="N55" s="54">
        <f t="shared" si="3"/>
        <v>190776</v>
      </c>
      <c r="O55" s="5">
        <v>190729</v>
      </c>
      <c r="P55" s="5">
        <v>190729</v>
      </c>
      <c r="Q55" s="5">
        <v>190729</v>
      </c>
      <c r="R55" s="5">
        <v>191261</v>
      </c>
      <c r="S55" s="5">
        <v>191261</v>
      </c>
      <c r="T55" s="5">
        <v>191261</v>
      </c>
      <c r="U55" s="54">
        <f t="shared" si="4"/>
        <v>191261</v>
      </c>
      <c r="V55" s="5">
        <v>191261</v>
      </c>
      <c r="W55" s="5">
        <v>191261</v>
      </c>
      <c r="X55" s="5">
        <v>191261</v>
      </c>
      <c r="Y55" s="5">
        <v>191261</v>
      </c>
      <c r="Z55" s="5">
        <v>191261</v>
      </c>
      <c r="AA55" s="5">
        <v>191261</v>
      </c>
      <c r="AB55" s="5">
        <v>191261</v>
      </c>
      <c r="AC55" s="5">
        <v>191261</v>
      </c>
      <c r="AD55" s="5">
        <v>191261</v>
      </c>
      <c r="AE55" s="5">
        <v>191261</v>
      </c>
      <c r="AF55" s="5">
        <v>265816</v>
      </c>
      <c r="AG55" s="5">
        <v>266808</v>
      </c>
      <c r="AH55" s="5">
        <v>265661</v>
      </c>
      <c r="AI55" s="5">
        <v>265661</v>
      </c>
      <c r="AJ55" s="5">
        <v>265661</v>
      </c>
      <c r="AK55" s="5">
        <v>265661</v>
      </c>
      <c r="AL55" s="5">
        <v>265661</v>
      </c>
      <c r="AM55" s="5">
        <v>265661</v>
      </c>
      <c r="AN55" s="5">
        <v>265661</v>
      </c>
      <c r="AO55" s="5">
        <v>265661</v>
      </c>
      <c r="AP55" s="5">
        <v>265661</v>
      </c>
      <c r="AQ55" s="5">
        <v>265661</v>
      </c>
    </row>
    <row r="56" spans="1:43" x14ac:dyDescent="0.2">
      <c r="A56" s="4">
        <v>1983.2</v>
      </c>
      <c r="B56" s="5">
        <v>98997</v>
      </c>
      <c r="C56" s="54">
        <f t="shared" si="0"/>
        <v>97826.793799999999</v>
      </c>
      <c r="D56" s="5">
        <v>98314</v>
      </c>
      <c r="E56" s="5">
        <v>98661</v>
      </c>
      <c r="F56" s="54">
        <f t="shared" si="7"/>
        <v>98661</v>
      </c>
      <c r="G56" s="54">
        <f t="shared" si="7"/>
        <v>98661</v>
      </c>
      <c r="H56" s="5">
        <v>98661</v>
      </c>
      <c r="I56" s="5">
        <v>98661</v>
      </c>
      <c r="J56" s="5">
        <v>98661</v>
      </c>
      <c r="K56" s="5">
        <v>98661</v>
      </c>
      <c r="L56" s="54">
        <f t="shared" si="2"/>
        <v>98661</v>
      </c>
      <c r="M56" s="5">
        <v>191221</v>
      </c>
      <c r="N56" s="54">
        <f t="shared" si="3"/>
        <v>191221</v>
      </c>
      <c r="O56" s="5">
        <v>191166</v>
      </c>
      <c r="P56" s="5">
        <v>191166</v>
      </c>
      <c r="Q56" s="5">
        <v>191166</v>
      </c>
      <c r="R56" s="5">
        <v>191530</v>
      </c>
      <c r="S56" s="5">
        <v>191530</v>
      </c>
      <c r="T56" s="5">
        <v>191530</v>
      </c>
      <c r="U56" s="54">
        <f t="shared" si="4"/>
        <v>191530</v>
      </c>
      <c r="V56" s="5">
        <v>191530</v>
      </c>
      <c r="W56" s="5">
        <v>191530</v>
      </c>
      <c r="X56" s="5">
        <v>191530</v>
      </c>
      <c r="Y56" s="5">
        <v>191530</v>
      </c>
      <c r="Z56" s="5">
        <v>191530</v>
      </c>
      <c r="AA56" s="5">
        <v>191530</v>
      </c>
      <c r="AB56" s="5">
        <v>191530</v>
      </c>
      <c r="AC56" s="5">
        <v>191530</v>
      </c>
      <c r="AD56" s="5">
        <v>191530</v>
      </c>
      <c r="AE56" s="5">
        <v>191530</v>
      </c>
      <c r="AF56" s="5">
        <v>266745</v>
      </c>
      <c r="AG56" s="5">
        <v>267267</v>
      </c>
      <c r="AH56" s="5">
        <v>266849</v>
      </c>
      <c r="AI56" s="5">
        <v>266849</v>
      </c>
      <c r="AJ56" s="5">
        <v>266849</v>
      </c>
      <c r="AK56" s="5">
        <v>266849</v>
      </c>
      <c r="AL56" s="5">
        <v>266849</v>
      </c>
      <c r="AM56" s="5">
        <v>266849</v>
      </c>
      <c r="AN56" s="5">
        <v>266849</v>
      </c>
      <c r="AO56" s="5">
        <v>266849</v>
      </c>
      <c r="AP56" s="5">
        <v>266849</v>
      </c>
      <c r="AQ56" s="5">
        <v>266849</v>
      </c>
    </row>
    <row r="57" spans="1:43" x14ac:dyDescent="0.2">
      <c r="A57" s="4">
        <v>1983.3</v>
      </c>
      <c r="B57" s="5">
        <v>100583</v>
      </c>
      <c r="C57" s="54">
        <f t="shared" si="0"/>
        <v>99322.622400000007</v>
      </c>
      <c r="D57" s="5">
        <v>99745</v>
      </c>
      <c r="E57" s="5">
        <v>99453</v>
      </c>
      <c r="F57" s="54">
        <f t="shared" si="7"/>
        <v>99453</v>
      </c>
      <c r="G57" s="54">
        <f t="shared" si="7"/>
        <v>99453</v>
      </c>
      <c r="H57" s="5">
        <v>99453</v>
      </c>
      <c r="I57" s="5">
        <v>99453</v>
      </c>
      <c r="J57" s="5">
        <v>99453</v>
      </c>
      <c r="K57" s="5">
        <v>99453</v>
      </c>
      <c r="L57" s="54">
        <f t="shared" si="2"/>
        <v>99453</v>
      </c>
      <c r="M57" s="5">
        <v>192440</v>
      </c>
      <c r="N57" s="54">
        <f t="shared" si="3"/>
        <v>192440</v>
      </c>
      <c r="O57" s="5">
        <v>192589</v>
      </c>
      <c r="P57" s="5">
        <v>192589</v>
      </c>
      <c r="Q57" s="5">
        <v>192589</v>
      </c>
      <c r="R57" s="5">
        <v>192544</v>
      </c>
      <c r="S57" s="5">
        <v>192544</v>
      </c>
      <c r="T57" s="5">
        <v>192544</v>
      </c>
      <c r="U57" s="54">
        <f t="shared" si="4"/>
        <v>192544</v>
      </c>
      <c r="V57" s="5">
        <v>192544</v>
      </c>
      <c r="W57" s="5">
        <v>192544</v>
      </c>
      <c r="X57" s="5">
        <v>192544</v>
      </c>
      <c r="Y57" s="5">
        <v>192544</v>
      </c>
      <c r="Z57" s="5">
        <v>192544</v>
      </c>
      <c r="AA57" s="5">
        <v>192544</v>
      </c>
      <c r="AB57" s="5">
        <v>192544</v>
      </c>
      <c r="AC57" s="5">
        <v>192544</v>
      </c>
      <c r="AD57" s="5">
        <v>192544</v>
      </c>
      <c r="AE57" s="5">
        <v>192544</v>
      </c>
      <c r="AF57" s="5">
        <v>269389</v>
      </c>
      <c r="AG57" s="5">
        <v>267645</v>
      </c>
      <c r="AH57" s="5">
        <v>269003</v>
      </c>
      <c r="AI57" s="5">
        <v>269003</v>
      </c>
      <c r="AJ57" s="5">
        <v>269003</v>
      </c>
      <c r="AK57" s="5">
        <v>269003</v>
      </c>
      <c r="AL57" s="5">
        <v>269003</v>
      </c>
      <c r="AM57" s="5">
        <v>269003</v>
      </c>
      <c r="AN57" s="5">
        <v>269003</v>
      </c>
      <c r="AO57" s="5">
        <v>269003</v>
      </c>
      <c r="AP57" s="5">
        <v>269003</v>
      </c>
      <c r="AQ57" s="5">
        <v>269003</v>
      </c>
    </row>
    <row r="58" spans="1:43" x14ac:dyDescent="0.2">
      <c r="A58" s="4">
        <v>1983.4</v>
      </c>
      <c r="B58" s="5">
        <v>101884</v>
      </c>
      <c r="C58" s="54">
        <f t="shared" si="0"/>
        <v>100577.49220000001</v>
      </c>
      <c r="D58" s="5">
        <v>100975</v>
      </c>
      <c r="E58" s="5">
        <v>100389</v>
      </c>
      <c r="F58" s="54">
        <f t="shared" si="7"/>
        <v>100389</v>
      </c>
      <c r="G58" s="54">
        <f t="shared" si="7"/>
        <v>100389</v>
      </c>
      <c r="H58" s="5">
        <v>100389</v>
      </c>
      <c r="I58" s="5">
        <v>100389</v>
      </c>
      <c r="J58" s="5">
        <v>100389</v>
      </c>
      <c r="K58" s="5">
        <v>100389</v>
      </c>
      <c r="L58" s="54">
        <f t="shared" si="2"/>
        <v>100389</v>
      </c>
      <c r="M58" s="5">
        <v>194933</v>
      </c>
      <c r="N58" s="54">
        <f t="shared" si="3"/>
        <v>194933</v>
      </c>
      <c r="O58" s="5">
        <v>194886</v>
      </c>
      <c r="P58" s="5">
        <v>194886</v>
      </c>
      <c r="Q58" s="5">
        <v>194886</v>
      </c>
      <c r="R58" s="5">
        <v>194035</v>
      </c>
      <c r="S58" s="5">
        <v>194035</v>
      </c>
      <c r="T58" s="5">
        <v>194035</v>
      </c>
      <c r="U58" s="54">
        <f t="shared" si="4"/>
        <v>194035</v>
      </c>
      <c r="V58" s="5">
        <v>194035</v>
      </c>
      <c r="W58" s="5">
        <v>194035</v>
      </c>
      <c r="X58" s="5">
        <v>194035</v>
      </c>
      <c r="Y58" s="5">
        <v>194035</v>
      </c>
      <c r="Z58" s="5">
        <v>194035</v>
      </c>
      <c r="AA58" s="5">
        <v>194035</v>
      </c>
      <c r="AB58" s="5">
        <v>194035</v>
      </c>
      <c r="AC58" s="5">
        <v>194035</v>
      </c>
      <c r="AD58" s="5">
        <v>194035</v>
      </c>
      <c r="AE58" s="5">
        <v>194035</v>
      </c>
      <c r="AF58" s="5">
        <v>271833</v>
      </c>
      <c r="AG58" s="5">
        <v>272063</v>
      </c>
      <c r="AH58" s="5">
        <v>272270</v>
      </c>
      <c r="AI58" s="5">
        <v>272270</v>
      </c>
      <c r="AJ58" s="5">
        <v>272270</v>
      </c>
      <c r="AK58" s="5">
        <v>272270</v>
      </c>
      <c r="AL58" s="5">
        <v>272270</v>
      </c>
      <c r="AM58" s="5">
        <v>272270</v>
      </c>
      <c r="AN58" s="5">
        <v>272270</v>
      </c>
      <c r="AO58" s="5">
        <v>272270</v>
      </c>
      <c r="AP58" s="5">
        <v>272270</v>
      </c>
      <c r="AQ58" s="5">
        <v>272270</v>
      </c>
    </row>
    <row r="59" spans="1:43" x14ac:dyDescent="0.2">
      <c r="A59" s="4">
        <v>1984.1</v>
      </c>
      <c r="B59" s="5">
        <v>102182</v>
      </c>
      <c r="C59" s="54">
        <f t="shared" si="0"/>
        <v>100889.35040000001</v>
      </c>
      <c r="D59" s="5">
        <v>101306</v>
      </c>
      <c r="E59" s="5">
        <v>101422</v>
      </c>
      <c r="F59" s="54">
        <f t="shared" si="7"/>
        <v>101422</v>
      </c>
      <c r="G59" s="54">
        <f t="shared" si="7"/>
        <v>101422</v>
      </c>
      <c r="H59" s="5">
        <v>101422</v>
      </c>
      <c r="I59" s="5">
        <v>101422</v>
      </c>
      <c r="J59" s="5">
        <v>101422</v>
      </c>
      <c r="K59" s="5">
        <v>101422</v>
      </c>
      <c r="L59" s="54">
        <f t="shared" si="2"/>
        <v>101422</v>
      </c>
      <c r="M59" s="5">
        <v>196200</v>
      </c>
      <c r="N59" s="54">
        <f t="shared" si="3"/>
        <v>196200</v>
      </c>
      <c r="O59" s="5">
        <v>196156</v>
      </c>
      <c r="P59" s="5">
        <v>196156</v>
      </c>
      <c r="Q59" s="5">
        <v>196156</v>
      </c>
      <c r="R59" s="5">
        <v>196306</v>
      </c>
      <c r="S59" s="5">
        <v>196306</v>
      </c>
      <c r="T59" s="5">
        <v>196306</v>
      </c>
      <c r="U59" s="54">
        <f t="shared" si="4"/>
        <v>196306</v>
      </c>
      <c r="V59" s="5">
        <v>196306</v>
      </c>
      <c r="W59" s="5">
        <v>196306</v>
      </c>
      <c r="X59" s="5">
        <v>196306</v>
      </c>
      <c r="Y59" s="5">
        <v>196306</v>
      </c>
      <c r="Z59" s="5">
        <v>196306</v>
      </c>
      <c r="AA59" s="5">
        <v>196306</v>
      </c>
      <c r="AB59" s="5">
        <v>196306</v>
      </c>
      <c r="AC59" s="5">
        <v>196306</v>
      </c>
      <c r="AD59" s="5">
        <v>196306</v>
      </c>
      <c r="AE59" s="5">
        <v>196306</v>
      </c>
      <c r="AF59" s="5">
        <v>274431</v>
      </c>
      <c r="AG59" s="5">
        <v>274096</v>
      </c>
      <c r="AH59" s="5">
        <v>274999</v>
      </c>
      <c r="AI59" s="5">
        <v>274999</v>
      </c>
      <c r="AJ59" s="5">
        <v>274999</v>
      </c>
      <c r="AK59" s="5">
        <v>274999</v>
      </c>
      <c r="AL59" s="5">
        <v>274999</v>
      </c>
      <c r="AM59" s="5">
        <v>274999</v>
      </c>
      <c r="AN59" s="5">
        <v>274999</v>
      </c>
      <c r="AO59" s="5">
        <v>274999</v>
      </c>
      <c r="AP59" s="5">
        <v>274999</v>
      </c>
      <c r="AQ59" s="5">
        <v>274999</v>
      </c>
    </row>
    <row r="60" spans="1:43" x14ac:dyDescent="0.2">
      <c r="A60" s="4">
        <v>1984.2</v>
      </c>
      <c r="B60" s="5">
        <v>102820</v>
      </c>
      <c r="C60" s="54">
        <f t="shared" si="0"/>
        <v>101520.008</v>
      </c>
      <c r="D60" s="5">
        <v>101940</v>
      </c>
      <c r="E60" s="5">
        <v>101928</v>
      </c>
      <c r="F60" s="54">
        <f t="shared" si="7"/>
        <v>101928</v>
      </c>
      <c r="G60" s="54">
        <f t="shared" si="7"/>
        <v>101928</v>
      </c>
      <c r="H60" s="5">
        <v>101928</v>
      </c>
      <c r="I60" s="5">
        <v>101928</v>
      </c>
      <c r="J60" s="5">
        <v>101928</v>
      </c>
      <c r="K60" s="5">
        <v>101928</v>
      </c>
      <c r="L60" s="54">
        <f t="shared" si="2"/>
        <v>101928</v>
      </c>
      <c r="M60" s="5">
        <v>196854</v>
      </c>
      <c r="N60" s="54">
        <f t="shared" si="3"/>
        <v>196854</v>
      </c>
      <c r="O60" s="5">
        <v>196813</v>
      </c>
      <c r="P60" s="5">
        <v>196813</v>
      </c>
      <c r="Q60" s="5">
        <v>196813</v>
      </c>
      <c r="R60" s="5">
        <v>196925</v>
      </c>
      <c r="S60" s="5">
        <v>196925</v>
      </c>
      <c r="T60" s="5">
        <v>196925</v>
      </c>
      <c r="U60" s="54">
        <f t="shared" si="4"/>
        <v>196925</v>
      </c>
      <c r="V60" s="5">
        <v>196925</v>
      </c>
      <c r="W60" s="5">
        <v>196925</v>
      </c>
      <c r="X60" s="5">
        <v>196925</v>
      </c>
      <c r="Y60" s="5">
        <v>196925</v>
      </c>
      <c r="Z60" s="5">
        <v>196925</v>
      </c>
      <c r="AA60" s="5">
        <v>196925</v>
      </c>
      <c r="AB60" s="5">
        <v>196925</v>
      </c>
      <c r="AC60" s="5">
        <v>196925</v>
      </c>
      <c r="AD60" s="5">
        <v>196925</v>
      </c>
      <c r="AE60" s="5">
        <v>196925</v>
      </c>
      <c r="AF60" s="5">
        <v>274217</v>
      </c>
      <c r="AG60" s="5">
        <v>274506</v>
      </c>
      <c r="AH60" s="5">
        <v>275127</v>
      </c>
      <c r="AI60" s="5">
        <v>275127</v>
      </c>
      <c r="AJ60" s="5">
        <v>275127</v>
      </c>
      <c r="AK60" s="5">
        <v>275127</v>
      </c>
      <c r="AL60" s="5">
        <v>275127</v>
      </c>
      <c r="AM60" s="5">
        <v>275127</v>
      </c>
      <c r="AN60" s="5">
        <v>275127</v>
      </c>
      <c r="AO60" s="5">
        <v>275127</v>
      </c>
      <c r="AP60" s="5">
        <v>275127</v>
      </c>
      <c r="AQ60" s="5">
        <v>275127</v>
      </c>
    </row>
    <row r="61" spans="1:43" x14ac:dyDescent="0.2">
      <c r="A61" s="4">
        <v>1984.3</v>
      </c>
      <c r="B61" s="5">
        <v>103441</v>
      </c>
      <c r="C61" s="54">
        <f t="shared" si="0"/>
        <v>102120.9176</v>
      </c>
      <c r="D61" s="5">
        <v>102531</v>
      </c>
      <c r="E61" s="5">
        <v>102438</v>
      </c>
      <c r="F61" s="54">
        <f t="shared" si="7"/>
        <v>102438</v>
      </c>
      <c r="G61" s="54">
        <f t="shared" si="7"/>
        <v>102438</v>
      </c>
      <c r="H61" s="5">
        <v>102438</v>
      </c>
      <c r="I61" s="5">
        <v>102438</v>
      </c>
      <c r="J61" s="5">
        <v>102438</v>
      </c>
      <c r="K61" s="5">
        <v>102438</v>
      </c>
      <c r="L61" s="54">
        <f t="shared" si="2"/>
        <v>102438</v>
      </c>
      <c r="M61" s="5">
        <v>198246</v>
      </c>
      <c r="N61" s="54">
        <f t="shared" si="3"/>
        <v>198246</v>
      </c>
      <c r="O61" s="5">
        <v>198363</v>
      </c>
      <c r="P61" s="5">
        <v>198363</v>
      </c>
      <c r="Q61" s="5">
        <v>198363</v>
      </c>
      <c r="R61" s="5">
        <v>198201</v>
      </c>
      <c r="S61" s="5">
        <v>198201</v>
      </c>
      <c r="T61" s="5">
        <v>198201</v>
      </c>
      <c r="U61" s="54">
        <f t="shared" si="4"/>
        <v>198201</v>
      </c>
      <c r="V61" s="5">
        <v>198201</v>
      </c>
      <c r="W61" s="5">
        <v>198201</v>
      </c>
      <c r="X61" s="5">
        <v>198201</v>
      </c>
      <c r="Y61" s="5">
        <v>198201</v>
      </c>
      <c r="Z61" s="5">
        <v>198201</v>
      </c>
      <c r="AA61" s="5">
        <v>198201</v>
      </c>
      <c r="AB61" s="5">
        <v>198201</v>
      </c>
      <c r="AC61" s="5">
        <v>198201</v>
      </c>
      <c r="AD61" s="5">
        <v>198201</v>
      </c>
      <c r="AE61" s="5">
        <v>198201</v>
      </c>
      <c r="AF61" s="5">
        <v>276883</v>
      </c>
      <c r="AG61" s="5">
        <v>276244</v>
      </c>
      <c r="AH61" s="5">
        <v>275272</v>
      </c>
      <c r="AI61" s="5">
        <v>275272</v>
      </c>
      <c r="AJ61" s="5">
        <v>275272</v>
      </c>
      <c r="AK61" s="5">
        <v>275272</v>
      </c>
      <c r="AL61" s="5">
        <v>275272</v>
      </c>
      <c r="AM61" s="5">
        <v>275272</v>
      </c>
      <c r="AN61" s="5">
        <v>275272</v>
      </c>
      <c r="AO61" s="5">
        <v>275272</v>
      </c>
      <c r="AP61" s="5">
        <v>275272</v>
      </c>
      <c r="AQ61" s="5">
        <v>275272</v>
      </c>
    </row>
    <row r="62" spans="1:43" x14ac:dyDescent="0.2">
      <c r="A62" s="4">
        <v>1984.4</v>
      </c>
      <c r="B62" s="5">
        <v>104237</v>
      </c>
      <c r="C62" s="54">
        <f t="shared" si="0"/>
        <v>102879.9874</v>
      </c>
      <c r="D62" s="5">
        <v>103266</v>
      </c>
      <c r="E62" s="5">
        <v>103255</v>
      </c>
      <c r="F62" s="54">
        <f t="shared" si="7"/>
        <v>103255</v>
      </c>
      <c r="G62" s="54">
        <f t="shared" si="7"/>
        <v>103255</v>
      </c>
      <c r="H62" s="5">
        <v>103255</v>
      </c>
      <c r="I62" s="5">
        <v>103255</v>
      </c>
      <c r="J62" s="5">
        <v>103255</v>
      </c>
      <c r="K62" s="5">
        <v>103255</v>
      </c>
      <c r="L62" s="54">
        <f t="shared" si="2"/>
        <v>103255</v>
      </c>
      <c r="M62" s="5">
        <v>198736</v>
      </c>
      <c r="N62" s="54">
        <f t="shared" si="3"/>
        <v>198736</v>
      </c>
      <c r="O62" s="5">
        <v>198704</v>
      </c>
      <c r="P62" s="5">
        <v>198704</v>
      </c>
      <c r="Q62" s="5">
        <v>198704</v>
      </c>
      <c r="R62" s="5">
        <v>198605</v>
      </c>
      <c r="S62" s="5">
        <v>198605</v>
      </c>
      <c r="T62" s="5">
        <v>198605</v>
      </c>
      <c r="U62" s="54">
        <f t="shared" si="4"/>
        <v>198605</v>
      </c>
      <c r="V62" s="5">
        <v>198605</v>
      </c>
      <c r="W62" s="5">
        <v>198605</v>
      </c>
      <c r="X62" s="5">
        <v>198605</v>
      </c>
      <c r="Y62" s="5">
        <v>198605</v>
      </c>
      <c r="Z62" s="5">
        <v>198605</v>
      </c>
      <c r="AA62" s="5">
        <v>198605</v>
      </c>
      <c r="AB62" s="5">
        <v>198605</v>
      </c>
      <c r="AC62" s="5">
        <v>198605</v>
      </c>
      <c r="AD62" s="5">
        <v>198605</v>
      </c>
      <c r="AE62" s="5">
        <v>198605</v>
      </c>
      <c r="AF62" s="5">
        <v>275836</v>
      </c>
      <c r="AG62" s="5">
        <v>276519</v>
      </c>
      <c r="AH62" s="5">
        <v>275968</v>
      </c>
      <c r="AI62" s="5">
        <v>275968</v>
      </c>
      <c r="AJ62" s="5">
        <v>275968</v>
      </c>
      <c r="AK62" s="5">
        <v>275968</v>
      </c>
      <c r="AL62" s="5">
        <v>275968</v>
      </c>
      <c r="AM62" s="5">
        <v>275968</v>
      </c>
      <c r="AN62" s="5">
        <v>275968</v>
      </c>
      <c r="AO62" s="5">
        <v>275968</v>
      </c>
      <c r="AP62" s="5">
        <v>275968</v>
      </c>
      <c r="AQ62" s="5">
        <v>275968</v>
      </c>
    </row>
    <row r="63" spans="1:43" x14ac:dyDescent="0.2">
      <c r="A63" s="4">
        <v>1985.1</v>
      </c>
      <c r="B63" s="5">
        <v>105017</v>
      </c>
      <c r="C63" s="54">
        <f t="shared" si="0"/>
        <v>103609.3092</v>
      </c>
      <c r="D63" s="5">
        <v>103957</v>
      </c>
      <c r="E63" s="5">
        <v>103572</v>
      </c>
      <c r="F63" s="54">
        <f t="shared" si="7"/>
        <v>103572</v>
      </c>
      <c r="G63" s="54">
        <f t="shared" si="7"/>
        <v>103572</v>
      </c>
      <c r="H63" s="5">
        <v>103631</v>
      </c>
      <c r="I63" s="5">
        <v>103631</v>
      </c>
      <c r="J63" s="5">
        <v>103631</v>
      </c>
      <c r="K63" s="5">
        <v>103631</v>
      </c>
      <c r="L63" s="54">
        <f t="shared" si="2"/>
        <v>103631</v>
      </c>
      <c r="M63" s="5">
        <v>199420</v>
      </c>
      <c r="N63" s="54">
        <f t="shared" si="3"/>
        <v>199420</v>
      </c>
      <c r="O63" s="5">
        <v>199608</v>
      </c>
      <c r="P63" s="5">
        <v>199608</v>
      </c>
      <c r="Q63" s="5">
        <v>199608</v>
      </c>
      <c r="R63" s="5">
        <v>199216</v>
      </c>
      <c r="S63" s="5">
        <v>199216</v>
      </c>
      <c r="T63" s="5">
        <v>199216</v>
      </c>
      <c r="U63" s="54">
        <f t="shared" si="4"/>
        <v>199216</v>
      </c>
      <c r="V63" s="5">
        <v>199216</v>
      </c>
      <c r="W63" s="5">
        <v>199216</v>
      </c>
      <c r="X63" s="5">
        <v>199216</v>
      </c>
      <c r="Y63" s="5">
        <v>199216</v>
      </c>
      <c r="Z63" s="5">
        <v>199216</v>
      </c>
      <c r="AA63" s="5">
        <v>199216</v>
      </c>
      <c r="AB63" s="5">
        <v>199216</v>
      </c>
      <c r="AC63" s="5">
        <v>199216</v>
      </c>
      <c r="AD63" s="5">
        <v>199216</v>
      </c>
      <c r="AE63" s="5">
        <v>199216</v>
      </c>
      <c r="AF63" s="5">
        <v>277704</v>
      </c>
      <c r="AG63" s="5">
        <v>278627</v>
      </c>
      <c r="AH63" s="5">
        <v>278665</v>
      </c>
      <c r="AI63" s="5">
        <v>278665</v>
      </c>
      <c r="AJ63" s="5">
        <v>278665</v>
      </c>
      <c r="AK63" s="5">
        <v>278665</v>
      </c>
      <c r="AL63" s="5">
        <v>278665</v>
      </c>
      <c r="AM63" s="5">
        <v>278665</v>
      </c>
      <c r="AN63" s="5">
        <v>278665</v>
      </c>
      <c r="AO63" s="5">
        <v>278665</v>
      </c>
      <c r="AP63" s="5">
        <v>278665</v>
      </c>
      <c r="AQ63" s="5">
        <v>278665</v>
      </c>
    </row>
    <row r="64" spans="1:43" x14ac:dyDescent="0.2">
      <c r="A64" s="4">
        <v>1985.2</v>
      </c>
      <c r="B64" s="5">
        <v>105826</v>
      </c>
      <c r="C64" s="54">
        <f t="shared" si="0"/>
        <v>104366.3958</v>
      </c>
      <c r="D64" s="5">
        <v>104675</v>
      </c>
      <c r="E64" s="5">
        <v>104740</v>
      </c>
      <c r="F64" s="54">
        <f t="shared" si="7"/>
        <v>104740</v>
      </c>
      <c r="G64" s="54">
        <f t="shared" si="7"/>
        <v>104740</v>
      </c>
      <c r="H64" s="5">
        <v>104750</v>
      </c>
      <c r="I64" s="5">
        <v>104750</v>
      </c>
      <c r="J64" s="5">
        <v>104750</v>
      </c>
      <c r="K64" s="5">
        <v>104750</v>
      </c>
      <c r="L64" s="54">
        <f t="shared" si="2"/>
        <v>104750</v>
      </c>
      <c r="M64" s="5">
        <v>202097</v>
      </c>
      <c r="N64" s="54">
        <f t="shared" si="3"/>
        <v>202097</v>
      </c>
      <c r="O64" s="5">
        <v>202259</v>
      </c>
      <c r="P64" s="5">
        <v>202259</v>
      </c>
      <c r="Q64" s="5">
        <v>202259</v>
      </c>
      <c r="R64" s="5">
        <v>202000</v>
      </c>
      <c r="S64" s="5">
        <v>202000</v>
      </c>
      <c r="T64" s="5">
        <v>202000</v>
      </c>
      <c r="U64" s="54">
        <f t="shared" si="4"/>
        <v>202000</v>
      </c>
      <c r="V64" s="5">
        <v>202000</v>
      </c>
      <c r="W64" s="5">
        <v>202000</v>
      </c>
      <c r="X64" s="5">
        <v>202000</v>
      </c>
      <c r="Y64" s="5">
        <v>202000</v>
      </c>
      <c r="Z64" s="5">
        <v>202000</v>
      </c>
      <c r="AA64" s="5">
        <v>202000</v>
      </c>
      <c r="AB64" s="5">
        <v>202000</v>
      </c>
      <c r="AC64" s="5">
        <v>202000</v>
      </c>
      <c r="AD64" s="5">
        <v>202000</v>
      </c>
      <c r="AE64" s="5">
        <v>202000</v>
      </c>
      <c r="AF64" s="5">
        <v>281984</v>
      </c>
      <c r="AG64" s="5">
        <v>281881</v>
      </c>
      <c r="AH64" s="5">
        <v>282126</v>
      </c>
      <c r="AI64" s="5">
        <v>282126</v>
      </c>
      <c r="AJ64" s="5">
        <v>282126</v>
      </c>
      <c r="AK64" s="5">
        <v>282126</v>
      </c>
      <c r="AL64" s="5">
        <v>282126</v>
      </c>
      <c r="AM64" s="5">
        <v>282126</v>
      </c>
      <c r="AN64" s="5">
        <v>282126</v>
      </c>
      <c r="AO64" s="5">
        <v>282126</v>
      </c>
      <c r="AP64" s="5">
        <v>282126</v>
      </c>
      <c r="AQ64" s="5">
        <v>282126</v>
      </c>
    </row>
    <row r="65" spans="1:43" x14ac:dyDescent="0.2">
      <c r="A65" s="4">
        <v>1985.3</v>
      </c>
      <c r="B65" s="5">
        <v>106410</v>
      </c>
      <c r="C65" s="54">
        <f t="shared" si="0"/>
        <v>104901.85980000001</v>
      </c>
      <c r="D65" s="5">
        <v>105171</v>
      </c>
      <c r="E65" s="5">
        <v>105414</v>
      </c>
      <c r="F65" s="54">
        <f t="shared" si="7"/>
        <v>105414</v>
      </c>
      <c r="G65" s="54">
        <f t="shared" si="7"/>
        <v>105414</v>
      </c>
      <c r="H65" s="5">
        <v>105462</v>
      </c>
      <c r="I65" s="5">
        <v>105462</v>
      </c>
      <c r="J65" s="5">
        <v>105462</v>
      </c>
      <c r="K65" s="5">
        <v>105462</v>
      </c>
      <c r="L65" s="54">
        <f t="shared" si="2"/>
        <v>105462</v>
      </c>
      <c r="M65" s="5">
        <v>204214</v>
      </c>
      <c r="N65" s="54">
        <f t="shared" si="3"/>
        <v>204214</v>
      </c>
      <c r="O65" s="5">
        <v>203917</v>
      </c>
      <c r="P65" s="5">
        <v>203917</v>
      </c>
      <c r="Q65" s="5">
        <v>203917</v>
      </c>
      <c r="R65" s="5">
        <v>204281</v>
      </c>
      <c r="S65" s="5">
        <v>204281</v>
      </c>
      <c r="T65" s="5">
        <v>204281</v>
      </c>
      <c r="U65" s="54">
        <f t="shared" si="4"/>
        <v>204281</v>
      </c>
      <c r="V65" s="5">
        <v>204281</v>
      </c>
      <c r="W65" s="5">
        <v>204281</v>
      </c>
      <c r="X65" s="5">
        <v>204281</v>
      </c>
      <c r="Y65" s="5">
        <v>204281</v>
      </c>
      <c r="Z65" s="5">
        <v>204281</v>
      </c>
      <c r="AA65" s="5">
        <v>204281</v>
      </c>
      <c r="AB65" s="5">
        <v>204281</v>
      </c>
      <c r="AC65" s="5">
        <v>204281</v>
      </c>
      <c r="AD65" s="5">
        <v>204281</v>
      </c>
      <c r="AE65" s="5">
        <v>204281</v>
      </c>
      <c r="AF65" s="5">
        <v>285204</v>
      </c>
      <c r="AG65" s="5">
        <v>284845</v>
      </c>
      <c r="AH65" s="5">
        <v>284552</v>
      </c>
      <c r="AI65" s="5">
        <v>284552</v>
      </c>
      <c r="AJ65" s="5">
        <v>284552</v>
      </c>
      <c r="AK65" s="5">
        <v>284552</v>
      </c>
      <c r="AL65" s="5">
        <v>284552</v>
      </c>
      <c r="AM65" s="5">
        <v>284552</v>
      </c>
      <c r="AN65" s="5">
        <v>284552</v>
      </c>
      <c r="AO65" s="5">
        <v>284552</v>
      </c>
      <c r="AP65" s="5">
        <v>284552</v>
      </c>
      <c r="AQ65" s="5">
        <v>284552</v>
      </c>
    </row>
    <row r="66" spans="1:43" x14ac:dyDescent="0.2">
      <c r="A66" s="4">
        <v>1985.4</v>
      </c>
      <c r="B66" s="5">
        <v>107328</v>
      </c>
      <c r="C66" s="54">
        <f t="shared" si="0"/>
        <v>105761.0812</v>
      </c>
      <c r="D66" s="5">
        <v>105986</v>
      </c>
      <c r="E66" s="5">
        <v>106062</v>
      </c>
      <c r="F66" s="54">
        <f t="shared" si="7"/>
        <v>106062</v>
      </c>
      <c r="G66" s="54">
        <f t="shared" si="7"/>
        <v>106062</v>
      </c>
      <c r="H66" s="5">
        <v>105945</v>
      </c>
      <c r="I66" s="5">
        <v>105945</v>
      </c>
      <c r="J66" s="5">
        <v>105945</v>
      </c>
      <c r="K66" s="5">
        <v>105945</v>
      </c>
      <c r="L66" s="54">
        <f t="shared" si="2"/>
        <v>105945</v>
      </c>
      <c r="M66" s="5">
        <v>204850</v>
      </c>
      <c r="N66" s="54">
        <f t="shared" si="3"/>
        <v>204850</v>
      </c>
      <c r="O66" s="5">
        <v>204796</v>
      </c>
      <c r="P66" s="5">
        <v>204796</v>
      </c>
      <c r="Q66" s="5">
        <v>204796</v>
      </c>
      <c r="R66" s="5">
        <v>205083</v>
      </c>
      <c r="S66" s="5">
        <v>205083</v>
      </c>
      <c r="T66" s="5">
        <v>205083</v>
      </c>
      <c r="U66" s="54">
        <f t="shared" si="4"/>
        <v>205083</v>
      </c>
      <c r="V66" s="5">
        <v>205083</v>
      </c>
      <c r="W66" s="5">
        <v>205083</v>
      </c>
      <c r="X66" s="5">
        <v>205083</v>
      </c>
      <c r="Y66" s="5">
        <v>205083</v>
      </c>
      <c r="Z66" s="5">
        <v>205083</v>
      </c>
      <c r="AA66" s="5">
        <v>205083</v>
      </c>
      <c r="AB66" s="5">
        <v>205083</v>
      </c>
      <c r="AC66" s="5">
        <v>205083</v>
      </c>
      <c r="AD66" s="5">
        <v>205083</v>
      </c>
      <c r="AE66" s="5">
        <v>205083</v>
      </c>
      <c r="AF66" s="5">
        <v>287421</v>
      </c>
      <c r="AG66" s="5">
        <v>286961</v>
      </c>
      <c r="AH66" s="5">
        <v>286970</v>
      </c>
      <c r="AI66" s="5">
        <v>286970</v>
      </c>
      <c r="AJ66" s="5">
        <v>286970</v>
      </c>
      <c r="AK66" s="5">
        <v>286970</v>
      </c>
      <c r="AL66" s="5">
        <v>286970</v>
      </c>
      <c r="AM66" s="5">
        <v>286970</v>
      </c>
      <c r="AN66" s="5">
        <v>286970</v>
      </c>
      <c r="AO66" s="5">
        <v>286970</v>
      </c>
      <c r="AP66" s="5">
        <v>286970</v>
      </c>
      <c r="AQ66" s="5">
        <v>286970</v>
      </c>
    </row>
    <row r="67" spans="1:43" x14ac:dyDescent="0.2">
      <c r="A67" s="4">
        <v>1986.1</v>
      </c>
      <c r="B67" s="5">
        <v>107100</v>
      </c>
      <c r="C67" s="54">
        <f t="shared" ref="C67:C73" si="8">0.9916*(B67+D67)/2</f>
        <v>105495.3324</v>
      </c>
      <c r="D67" s="5">
        <v>105678</v>
      </c>
      <c r="E67" s="5">
        <v>106447</v>
      </c>
      <c r="F67" s="54">
        <f t="shared" ref="F67:G78" si="9">E67</f>
        <v>106447</v>
      </c>
      <c r="G67" s="54">
        <f t="shared" si="9"/>
        <v>106447</v>
      </c>
      <c r="H67" s="5">
        <v>106480</v>
      </c>
      <c r="I67" s="5">
        <v>106480</v>
      </c>
      <c r="J67" s="5">
        <v>106480</v>
      </c>
      <c r="K67" s="5">
        <v>106480</v>
      </c>
      <c r="L67" s="54">
        <f t="shared" ref="L67:L81" si="10">K67</f>
        <v>106480</v>
      </c>
      <c r="M67" s="5">
        <v>205427</v>
      </c>
      <c r="N67" s="54">
        <f t="shared" ref="N67:N81" si="11">M67</f>
        <v>205427</v>
      </c>
      <c r="O67" s="5">
        <v>205662</v>
      </c>
      <c r="P67" s="5">
        <v>205662</v>
      </c>
      <c r="Q67" s="5">
        <v>205662</v>
      </c>
      <c r="R67" s="5">
        <v>205391</v>
      </c>
      <c r="S67" s="5">
        <v>205391</v>
      </c>
      <c r="T67" s="5">
        <v>205391</v>
      </c>
      <c r="U67" s="54">
        <f t="shared" ref="U67:U89" si="12">T67</f>
        <v>205391</v>
      </c>
      <c r="V67" s="5">
        <v>205391</v>
      </c>
      <c r="W67" s="5">
        <v>205391</v>
      </c>
      <c r="X67" s="5">
        <v>205391</v>
      </c>
      <c r="Y67" s="5">
        <v>205391</v>
      </c>
      <c r="Z67" s="5">
        <v>205391</v>
      </c>
      <c r="AA67" s="5">
        <v>205391</v>
      </c>
      <c r="AB67" s="5">
        <v>205391</v>
      </c>
      <c r="AC67" s="5">
        <v>205391</v>
      </c>
      <c r="AD67" s="5">
        <v>205391</v>
      </c>
      <c r="AE67" s="5">
        <v>205391</v>
      </c>
      <c r="AF67" s="5">
        <v>287060</v>
      </c>
      <c r="AG67" s="5">
        <v>287367</v>
      </c>
      <c r="AH67" s="5">
        <v>287066</v>
      </c>
      <c r="AI67" s="5">
        <v>287066</v>
      </c>
      <c r="AJ67" s="5">
        <v>287066</v>
      </c>
      <c r="AK67" s="5">
        <v>287066</v>
      </c>
      <c r="AL67" s="5">
        <v>287066</v>
      </c>
      <c r="AM67" s="5">
        <v>287066</v>
      </c>
      <c r="AN67" s="5">
        <v>287066</v>
      </c>
      <c r="AO67" s="5">
        <v>287066</v>
      </c>
      <c r="AP67" s="5">
        <v>287066</v>
      </c>
      <c r="AQ67" s="5">
        <v>287066</v>
      </c>
    </row>
    <row r="68" spans="1:43" x14ac:dyDescent="0.2">
      <c r="A68" s="4">
        <v>1986.2</v>
      </c>
      <c r="B68" s="5">
        <v>109179</v>
      </c>
      <c r="C68" s="54">
        <f t="shared" si="8"/>
        <v>107489.44</v>
      </c>
      <c r="D68" s="5">
        <v>107621</v>
      </c>
      <c r="E68" s="5">
        <v>107596</v>
      </c>
      <c r="F68" s="54">
        <f t="shared" si="9"/>
        <v>107596</v>
      </c>
      <c r="G68" s="54">
        <f t="shared" si="9"/>
        <v>107596</v>
      </c>
      <c r="H68" s="5">
        <v>107605</v>
      </c>
      <c r="I68" s="5">
        <v>107605</v>
      </c>
      <c r="J68" s="5">
        <v>107605</v>
      </c>
      <c r="K68" s="5">
        <v>107605</v>
      </c>
      <c r="L68" s="54">
        <f t="shared" si="10"/>
        <v>107605</v>
      </c>
      <c r="M68" s="5">
        <v>208538</v>
      </c>
      <c r="N68" s="54">
        <f t="shared" si="11"/>
        <v>208538</v>
      </c>
      <c r="O68" s="5">
        <v>208590</v>
      </c>
      <c r="P68" s="5">
        <v>208590</v>
      </c>
      <c r="Q68" s="5">
        <v>208590</v>
      </c>
      <c r="R68" s="5">
        <v>208545</v>
      </c>
      <c r="S68" s="5">
        <v>208545</v>
      </c>
      <c r="T68" s="5">
        <v>208545</v>
      </c>
      <c r="U68" s="54">
        <f t="shared" si="12"/>
        <v>208545</v>
      </c>
      <c r="V68" s="5">
        <v>208545</v>
      </c>
      <c r="W68" s="5">
        <v>208545</v>
      </c>
      <c r="X68" s="5">
        <v>208545</v>
      </c>
      <c r="Y68" s="5">
        <v>208545</v>
      </c>
      <c r="Z68" s="5">
        <v>208545</v>
      </c>
      <c r="AA68" s="5">
        <v>208545</v>
      </c>
      <c r="AB68" s="5">
        <v>208545</v>
      </c>
      <c r="AC68" s="5">
        <v>208545</v>
      </c>
      <c r="AD68" s="5">
        <v>208545</v>
      </c>
      <c r="AE68" s="5">
        <v>208545</v>
      </c>
      <c r="AF68" s="5">
        <v>290869</v>
      </c>
      <c r="AG68" s="5">
        <v>290505</v>
      </c>
      <c r="AH68" s="5">
        <v>290328</v>
      </c>
      <c r="AI68" s="5">
        <v>290328</v>
      </c>
      <c r="AJ68" s="5">
        <v>290328</v>
      </c>
      <c r="AK68" s="5">
        <v>290328</v>
      </c>
      <c r="AL68" s="5">
        <v>290328</v>
      </c>
      <c r="AM68" s="5">
        <v>290328</v>
      </c>
      <c r="AN68" s="5">
        <v>290328</v>
      </c>
      <c r="AO68" s="5">
        <v>290328</v>
      </c>
      <c r="AP68" s="5">
        <v>290328</v>
      </c>
      <c r="AQ68" s="5">
        <v>290328</v>
      </c>
    </row>
    <row r="69" spans="1:43" x14ac:dyDescent="0.2">
      <c r="A69" s="4">
        <v>1986.3</v>
      </c>
      <c r="B69" s="5">
        <v>110111</v>
      </c>
      <c r="C69" s="54">
        <f t="shared" si="8"/>
        <v>108365.02280000001</v>
      </c>
      <c r="D69" s="5">
        <v>108455</v>
      </c>
      <c r="E69" s="5">
        <v>107701</v>
      </c>
      <c r="F69" s="54">
        <f t="shared" si="9"/>
        <v>107701</v>
      </c>
      <c r="G69" s="54">
        <f t="shared" si="9"/>
        <v>107701</v>
      </c>
      <c r="H69" s="5">
        <v>107778</v>
      </c>
      <c r="I69" s="5">
        <v>107778</v>
      </c>
      <c r="J69" s="5">
        <v>107778</v>
      </c>
      <c r="K69" s="5">
        <v>107778</v>
      </c>
      <c r="L69" s="54">
        <f t="shared" si="10"/>
        <v>107778</v>
      </c>
      <c r="M69" s="5">
        <v>209130</v>
      </c>
      <c r="N69" s="54">
        <f t="shared" si="11"/>
        <v>209130</v>
      </c>
      <c r="O69" s="5">
        <v>209082</v>
      </c>
      <c r="P69" s="5">
        <v>209082</v>
      </c>
      <c r="Q69" s="5">
        <v>209082</v>
      </c>
      <c r="R69" s="5">
        <v>209214</v>
      </c>
      <c r="S69" s="5">
        <v>209214</v>
      </c>
      <c r="T69" s="5">
        <v>209214</v>
      </c>
      <c r="U69" s="54">
        <f t="shared" si="12"/>
        <v>209214</v>
      </c>
      <c r="V69" s="5">
        <v>209214</v>
      </c>
      <c r="W69" s="5">
        <v>209214</v>
      </c>
      <c r="X69" s="5">
        <v>209214</v>
      </c>
      <c r="Y69" s="5">
        <v>209214</v>
      </c>
      <c r="Z69" s="5">
        <v>209214</v>
      </c>
      <c r="AA69" s="5">
        <v>209214</v>
      </c>
      <c r="AB69" s="5">
        <v>209214</v>
      </c>
      <c r="AC69" s="5">
        <v>209214</v>
      </c>
      <c r="AD69" s="5">
        <v>209214</v>
      </c>
      <c r="AE69" s="5">
        <v>209214</v>
      </c>
      <c r="AF69" s="5">
        <v>291739</v>
      </c>
      <c r="AG69" s="5">
        <v>291466</v>
      </c>
      <c r="AH69" s="5">
        <v>293023</v>
      </c>
      <c r="AI69" s="5">
        <v>293023</v>
      </c>
      <c r="AJ69" s="5">
        <v>293023</v>
      </c>
      <c r="AK69" s="5">
        <v>293023</v>
      </c>
      <c r="AL69" s="5">
        <v>293023</v>
      </c>
      <c r="AM69" s="5">
        <v>293023</v>
      </c>
      <c r="AN69" s="5">
        <v>293023</v>
      </c>
      <c r="AO69" s="5">
        <v>293023</v>
      </c>
      <c r="AP69" s="5">
        <v>293023</v>
      </c>
      <c r="AQ69" s="5">
        <v>293023</v>
      </c>
    </row>
    <row r="70" spans="1:43" x14ac:dyDescent="0.2">
      <c r="A70" s="4">
        <v>1986.4</v>
      </c>
      <c r="B70" s="5">
        <v>110441</v>
      </c>
      <c r="C70" s="54">
        <f t="shared" si="8"/>
        <v>108654.57</v>
      </c>
      <c r="D70" s="5">
        <v>108709</v>
      </c>
      <c r="E70" s="5">
        <v>108718</v>
      </c>
      <c r="F70" s="54">
        <f t="shared" si="9"/>
        <v>108718</v>
      </c>
      <c r="G70" s="54">
        <f t="shared" si="9"/>
        <v>108718</v>
      </c>
      <c r="H70" s="5">
        <v>108599</v>
      </c>
      <c r="I70" s="5">
        <v>108599</v>
      </c>
      <c r="J70" s="5">
        <v>108599</v>
      </c>
      <c r="K70" s="5">
        <v>108599</v>
      </c>
      <c r="L70" s="54">
        <f t="shared" si="10"/>
        <v>108599</v>
      </c>
      <c r="M70" s="5">
        <v>211167</v>
      </c>
      <c r="N70" s="54">
        <f t="shared" si="11"/>
        <v>211167</v>
      </c>
      <c r="O70" s="5">
        <v>210927</v>
      </c>
      <c r="P70" s="5">
        <v>210927</v>
      </c>
      <c r="Q70" s="5">
        <v>210927</v>
      </c>
      <c r="R70" s="5">
        <v>211111</v>
      </c>
      <c r="S70" s="5">
        <v>211111</v>
      </c>
      <c r="T70" s="5">
        <v>211111</v>
      </c>
      <c r="U70" s="54">
        <f t="shared" si="12"/>
        <v>211111</v>
      </c>
      <c r="V70" s="5">
        <v>211111</v>
      </c>
      <c r="W70" s="5">
        <v>211111</v>
      </c>
      <c r="X70" s="5">
        <v>211111</v>
      </c>
      <c r="Y70" s="5">
        <v>211111</v>
      </c>
      <c r="Z70" s="5">
        <v>211111</v>
      </c>
      <c r="AA70" s="5">
        <v>211111</v>
      </c>
      <c r="AB70" s="5">
        <v>211111</v>
      </c>
      <c r="AC70" s="5">
        <v>211111</v>
      </c>
      <c r="AD70" s="5">
        <v>211111</v>
      </c>
      <c r="AE70" s="5">
        <v>211111</v>
      </c>
      <c r="AF70" s="5">
        <v>294797</v>
      </c>
      <c r="AG70" s="5">
        <v>295127</v>
      </c>
      <c r="AH70" s="5">
        <v>294048</v>
      </c>
      <c r="AI70" s="5">
        <v>294048</v>
      </c>
      <c r="AJ70" s="5">
        <v>294048</v>
      </c>
      <c r="AK70" s="5">
        <v>294048</v>
      </c>
      <c r="AL70" s="5">
        <v>294048</v>
      </c>
      <c r="AM70" s="5">
        <v>294048</v>
      </c>
      <c r="AN70" s="5">
        <v>294048</v>
      </c>
      <c r="AO70" s="5">
        <v>294048</v>
      </c>
      <c r="AP70" s="5">
        <v>294048</v>
      </c>
      <c r="AQ70" s="5">
        <v>294048</v>
      </c>
    </row>
    <row r="71" spans="1:43" x14ac:dyDescent="0.2">
      <c r="A71" s="4">
        <v>1987.1</v>
      </c>
      <c r="B71" s="5">
        <v>111206</v>
      </c>
      <c r="C71" s="54">
        <f t="shared" si="8"/>
        <v>109369.0178</v>
      </c>
      <c r="D71" s="5">
        <v>109385</v>
      </c>
      <c r="E71" s="5">
        <v>109121</v>
      </c>
      <c r="F71" s="54">
        <f t="shared" si="9"/>
        <v>109121</v>
      </c>
      <c r="G71" s="54">
        <f t="shared" si="9"/>
        <v>109121</v>
      </c>
      <c r="H71" s="5">
        <v>109174</v>
      </c>
      <c r="I71" s="5">
        <v>109174</v>
      </c>
      <c r="J71" s="5">
        <v>109174</v>
      </c>
      <c r="K71" s="5">
        <v>109174</v>
      </c>
      <c r="L71" s="54">
        <f t="shared" si="10"/>
        <v>109174</v>
      </c>
      <c r="M71" s="5">
        <v>211551</v>
      </c>
      <c r="N71" s="54">
        <f t="shared" si="11"/>
        <v>211551</v>
      </c>
      <c r="O71" s="5">
        <v>211517</v>
      </c>
      <c r="P71" s="5">
        <v>211251</v>
      </c>
      <c r="Q71" s="5">
        <v>211251</v>
      </c>
      <c r="R71" s="5">
        <v>211675</v>
      </c>
      <c r="S71" s="5">
        <v>211675</v>
      </c>
      <c r="T71" s="5">
        <v>211675</v>
      </c>
      <c r="U71" s="54">
        <f t="shared" si="12"/>
        <v>211675</v>
      </c>
      <c r="V71" s="5">
        <v>211675</v>
      </c>
      <c r="W71" s="5">
        <v>211675</v>
      </c>
      <c r="X71" s="5">
        <v>211675</v>
      </c>
      <c r="Y71" s="5">
        <v>211675</v>
      </c>
      <c r="Z71" s="5">
        <v>211675</v>
      </c>
      <c r="AA71" s="5">
        <v>211675</v>
      </c>
      <c r="AB71" s="5">
        <v>211675</v>
      </c>
      <c r="AC71" s="5">
        <v>211675</v>
      </c>
      <c r="AD71" s="5">
        <v>211675</v>
      </c>
      <c r="AE71" s="5">
        <v>211675</v>
      </c>
      <c r="AF71" s="5">
        <v>294294</v>
      </c>
      <c r="AG71" s="5">
        <v>294868</v>
      </c>
      <c r="AH71" s="5">
        <v>294675</v>
      </c>
      <c r="AI71" s="5">
        <v>294675</v>
      </c>
      <c r="AJ71" s="5">
        <v>294675</v>
      </c>
      <c r="AK71" s="5">
        <v>294675</v>
      </c>
      <c r="AL71" s="5">
        <v>294675</v>
      </c>
      <c r="AM71" s="5">
        <v>294675</v>
      </c>
      <c r="AN71" s="5">
        <v>294675</v>
      </c>
      <c r="AO71" s="5">
        <v>294675</v>
      </c>
      <c r="AP71" s="5">
        <v>294675</v>
      </c>
      <c r="AQ71" s="5">
        <v>294675</v>
      </c>
    </row>
    <row r="72" spans="1:43" x14ac:dyDescent="0.2">
      <c r="A72" s="4">
        <v>1987.2</v>
      </c>
      <c r="B72" s="5">
        <v>112295</v>
      </c>
      <c r="C72" s="54">
        <f t="shared" si="8"/>
        <v>110436.97100000001</v>
      </c>
      <c r="D72" s="5">
        <v>110450</v>
      </c>
      <c r="E72" s="5">
        <v>110406</v>
      </c>
      <c r="F72" s="54">
        <f t="shared" si="9"/>
        <v>110406</v>
      </c>
      <c r="G72" s="54">
        <f t="shared" si="9"/>
        <v>110406</v>
      </c>
      <c r="H72" s="5">
        <v>110449</v>
      </c>
      <c r="I72" s="5">
        <v>110449</v>
      </c>
      <c r="J72" s="5">
        <v>110449</v>
      </c>
      <c r="K72" s="5">
        <v>110449</v>
      </c>
      <c r="L72" s="54">
        <f t="shared" si="10"/>
        <v>110449</v>
      </c>
      <c r="M72" s="5">
        <v>214305</v>
      </c>
      <c r="N72" s="54">
        <f t="shared" si="11"/>
        <v>214305</v>
      </c>
      <c r="O72" s="5">
        <v>214303</v>
      </c>
      <c r="P72" s="5">
        <v>214420</v>
      </c>
      <c r="Q72" s="5">
        <v>214420</v>
      </c>
      <c r="R72" s="5">
        <v>214552</v>
      </c>
      <c r="S72" s="5">
        <v>214552</v>
      </c>
      <c r="T72" s="5">
        <v>214552</v>
      </c>
      <c r="U72" s="54">
        <f t="shared" si="12"/>
        <v>214552</v>
      </c>
      <c r="V72" s="5">
        <v>214552</v>
      </c>
      <c r="W72" s="5">
        <v>214552</v>
      </c>
      <c r="X72" s="5">
        <v>214552</v>
      </c>
      <c r="Y72" s="5">
        <v>214552</v>
      </c>
      <c r="Z72" s="5">
        <v>214552</v>
      </c>
      <c r="AA72" s="5">
        <v>214552</v>
      </c>
      <c r="AB72" s="5">
        <v>214552</v>
      </c>
      <c r="AC72" s="5">
        <v>214552</v>
      </c>
      <c r="AD72" s="5">
        <v>214552</v>
      </c>
      <c r="AE72" s="5">
        <v>214552</v>
      </c>
      <c r="AF72" s="5">
        <v>300845</v>
      </c>
      <c r="AG72" s="5">
        <v>300558</v>
      </c>
      <c r="AH72" s="5">
        <v>299689</v>
      </c>
      <c r="AI72" s="5">
        <v>299689</v>
      </c>
      <c r="AJ72" s="5">
        <v>299689</v>
      </c>
      <c r="AK72" s="5">
        <v>299689</v>
      </c>
      <c r="AL72" s="5">
        <v>299689</v>
      </c>
      <c r="AM72" s="5">
        <v>299689</v>
      </c>
      <c r="AN72" s="5">
        <v>299689</v>
      </c>
      <c r="AO72" s="5">
        <v>299689</v>
      </c>
      <c r="AP72" s="5">
        <v>299689</v>
      </c>
      <c r="AQ72" s="5">
        <v>299689</v>
      </c>
    </row>
    <row r="73" spans="1:43" x14ac:dyDescent="0.2">
      <c r="A73" s="4">
        <v>1987.3</v>
      </c>
      <c r="B73" s="5">
        <v>113257</v>
      </c>
      <c r="C73" s="54">
        <f t="shared" si="8"/>
        <v>111417.6634</v>
      </c>
      <c r="D73" s="5">
        <v>111466</v>
      </c>
      <c r="E73" s="5">
        <v>110901</v>
      </c>
      <c r="F73" s="54">
        <f t="shared" si="9"/>
        <v>110901</v>
      </c>
      <c r="G73" s="54">
        <f t="shared" si="9"/>
        <v>110901</v>
      </c>
      <c r="H73" s="5">
        <v>111043</v>
      </c>
      <c r="I73" s="5">
        <v>111043</v>
      </c>
      <c r="J73" s="5">
        <v>111043</v>
      </c>
      <c r="K73" s="5">
        <v>111043</v>
      </c>
      <c r="L73" s="54">
        <f t="shared" si="10"/>
        <v>111043</v>
      </c>
      <c r="M73" s="5">
        <v>215586</v>
      </c>
      <c r="N73" s="54">
        <f t="shared" si="11"/>
        <v>215586</v>
      </c>
      <c r="O73" s="5">
        <v>215813</v>
      </c>
      <c r="P73" s="5">
        <v>215900</v>
      </c>
      <c r="Q73" s="5">
        <v>215900</v>
      </c>
      <c r="R73" s="5">
        <v>215819</v>
      </c>
      <c r="S73" s="5">
        <v>215819</v>
      </c>
      <c r="T73" s="5">
        <v>215819</v>
      </c>
      <c r="U73" s="54">
        <f t="shared" si="12"/>
        <v>215819</v>
      </c>
      <c r="V73" s="5">
        <v>215819</v>
      </c>
      <c r="W73" s="5">
        <v>215819</v>
      </c>
      <c r="X73" s="5">
        <v>215819</v>
      </c>
      <c r="Y73" s="5">
        <v>215819</v>
      </c>
      <c r="Z73" s="5">
        <v>215819</v>
      </c>
      <c r="AA73" s="5">
        <v>215819</v>
      </c>
      <c r="AB73" s="5">
        <v>215819</v>
      </c>
      <c r="AC73" s="5">
        <v>215819</v>
      </c>
      <c r="AD73" s="5">
        <v>215819</v>
      </c>
      <c r="AE73" s="5">
        <v>215819</v>
      </c>
      <c r="AF73" s="5">
        <v>300115</v>
      </c>
      <c r="AG73" s="5">
        <v>299782</v>
      </c>
      <c r="AH73" s="5">
        <v>301076</v>
      </c>
      <c r="AI73" s="5">
        <v>301076</v>
      </c>
      <c r="AJ73" s="5">
        <v>301076</v>
      </c>
      <c r="AK73" s="5">
        <v>301076</v>
      </c>
      <c r="AL73" s="5">
        <v>301076</v>
      </c>
      <c r="AM73" s="5">
        <v>301076</v>
      </c>
      <c r="AN73" s="5">
        <v>301076</v>
      </c>
      <c r="AO73" s="5">
        <v>301076</v>
      </c>
      <c r="AP73" s="5">
        <v>301076</v>
      </c>
      <c r="AQ73" s="5">
        <v>301076</v>
      </c>
    </row>
    <row r="74" spans="1:43" x14ac:dyDescent="0.2">
      <c r="A74" s="4">
        <v>1987.4</v>
      </c>
      <c r="B74" s="5">
        <v>113640</v>
      </c>
      <c r="C74" s="54">
        <f>0.9916*(B74+D74)/2</f>
        <v>111869.833</v>
      </c>
      <c r="D74" s="5">
        <v>111995</v>
      </c>
      <c r="E74" s="5">
        <v>112869</v>
      </c>
      <c r="F74" s="54">
        <f t="shared" si="9"/>
        <v>112869</v>
      </c>
      <c r="G74" s="54">
        <f t="shared" si="9"/>
        <v>112869</v>
      </c>
      <c r="H74" s="5">
        <v>112869</v>
      </c>
      <c r="I74" s="5">
        <v>112869</v>
      </c>
      <c r="J74" s="5">
        <v>112869</v>
      </c>
      <c r="K74" s="5">
        <v>112869</v>
      </c>
      <c r="L74" s="54">
        <f t="shared" si="10"/>
        <v>112869</v>
      </c>
      <c r="M74" s="5">
        <v>218979</v>
      </c>
      <c r="N74" s="54">
        <f t="shared" si="11"/>
        <v>218979</v>
      </c>
      <c r="O74" s="5">
        <v>218789</v>
      </c>
      <c r="P74" s="5">
        <v>218852</v>
      </c>
      <c r="Q74" s="5">
        <v>218852</v>
      </c>
      <c r="R74" s="5">
        <v>218376</v>
      </c>
      <c r="S74" s="5">
        <v>218376</v>
      </c>
      <c r="T74" s="5">
        <v>218376</v>
      </c>
      <c r="U74" s="54">
        <f t="shared" si="12"/>
        <v>218376</v>
      </c>
      <c r="V74" s="5">
        <v>218376</v>
      </c>
      <c r="W74" s="5">
        <v>218376</v>
      </c>
      <c r="X74" s="5">
        <v>218376</v>
      </c>
      <c r="Y74" s="5">
        <v>218376</v>
      </c>
      <c r="Z74" s="5">
        <v>218376</v>
      </c>
      <c r="AA74" s="5">
        <v>218376</v>
      </c>
      <c r="AB74" s="5">
        <v>218376</v>
      </c>
      <c r="AC74" s="5">
        <v>218376</v>
      </c>
      <c r="AD74" s="5">
        <v>218376</v>
      </c>
      <c r="AE74" s="5">
        <v>218376</v>
      </c>
      <c r="AF74" s="5">
        <v>305269</v>
      </c>
      <c r="AG74" s="5">
        <v>305314</v>
      </c>
      <c r="AH74" s="5">
        <v>305082</v>
      </c>
      <c r="AI74" s="5">
        <v>305082</v>
      </c>
      <c r="AJ74" s="5">
        <v>305082</v>
      </c>
      <c r="AK74" s="5">
        <v>305082</v>
      </c>
      <c r="AL74" s="5">
        <v>305082</v>
      </c>
      <c r="AM74" s="5">
        <v>305082</v>
      </c>
      <c r="AN74" s="5">
        <v>305082</v>
      </c>
      <c r="AO74" s="5">
        <v>305082</v>
      </c>
      <c r="AP74" s="5">
        <v>305082</v>
      </c>
      <c r="AQ74" s="5">
        <v>305082</v>
      </c>
    </row>
    <row r="75" spans="1:43" x14ac:dyDescent="0.2">
      <c r="A75" s="4">
        <v>1988.1</v>
      </c>
      <c r="B75" s="5">
        <v>115061</v>
      </c>
      <c r="C75" s="54">
        <v>113382</v>
      </c>
      <c r="D75" s="5">
        <v>113615</v>
      </c>
      <c r="E75" s="5">
        <v>113997</v>
      </c>
      <c r="F75" s="54">
        <f t="shared" si="9"/>
        <v>113997</v>
      </c>
      <c r="G75" s="54">
        <v>113965</v>
      </c>
      <c r="H75" s="5">
        <v>114112</v>
      </c>
      <c r="I75" s="5">
        <v>114111</v>
      </c>
      <c r="J75" s="5">
        <v>114113</v>
      </c>
      <c r="K75" s="5">
        <v>114280</v>
      </c>
      <c r="L75" s="54">
        <f t="shared" si="10"/>
        <v>114280</v>
      </c>
      <c r="M75" s="5">
        <v>221150</v>
      </c>
      <c r="N75" s="54">
        <f t="shared" si="11"/>
        <v>221150</v>
      </c>
      <c r="O75" s="5">
        <v>221139</v>
      </c>
      <c r="P75" s="5">
        <v>221429</v>
      </c>
      <c r="Q75" s="5">
        <v>221429</v>
      </c>
      <c r="R75" s="5">
        <v>221373</v>
      </c>
      <c r="S75" s="5">
        <v>221373</v>
      </c>
      <c r="T75" s="5">
        <v>221172</v>
      </c>
      <c r="U75" s="54">
        <f t="shared" si="12"/>
        <v>221172</v>
      </c>
      <c r="V75" s="5">
        <v>221172</v>
      </c>
      <c r="W75" s="5">
        <v>221172</v>
      </c>
      <c r="X75" s="5">
        <v>221172</v>
      </c>
      <c r="Y75" s="5">
        <v>221172</v>
      </c>
      <c r="Z75" s="5">
        <v>221172</v>
      </c>
      <c r="AA75" s="5">
        <v>221172</v>
      </c>
      <c r="AB75" s="5">
        <v>221172</v>
      </c>
      <c r="AC75" s="5">
        <v>221172</v>
      </c>
      <c r="AD75" s="5">
        <v>221172</v>
      </c>
      <c r="AE75" s="5">
        <v>221172</v>
      </c>
      <c r="AF75" s="5">
        <v>309675</v>
      </c>
      <c r="AG75" s="5">
        <v>308693</v>
      </c>
      <c r="AH75" s="5">
        <v>308723</v>
      </c>
      <c r="AI75" s="5">
        <v>308723</v>
      </c>
      <c r="AJ75" s="5">
        <v>308723</v>
      </c>
      <c r="AK75" s="5">
        <v>308723</v>
      </c>
      <c r="AL75" s="5">
        <v>308723</v>
      </c>
      <c r="AM75" s="5">
        <v>308723</v>
      </c>
      <c r="AN75" s="5">
        <v>308723</v>
      </c>
      <c r="AO75" s="5">
        <v>308723</v>
      </c>
      <c r="AP75" s="5">
        <v>308723</v>
      </c>
      <c r="AQ75" s="5">
        <v>308723</v>
      </c>
    </row>
    <row r="76" spans="1:43" x14ac:dyDescent="0.2">
      <c r="A76" s="4">
        <v>1988.2</v>
      </c>
      <c r="B76" s="5">
        <v>115793</v>
      </c>
      <c r="C76" s="54">
        <v>114514</v>
      </c>
      <c r="D76" s="5">
        <v>114498</v>
      </c>
      <c r="E76" s="5">
        <v>114615</v>
      </c>
      <c r="F76" s="54">
        <f t="shared" si="9"/>
        <v>114615</v>
      </c>
      <c r="G76" s="54">
        <v>114569</v>
      </c>
      <c r="H76" s="5">
        <v>114888</v>
      </c>
      <c r="I76" s="5">
        <v>114820</v>
      </c>
      <c r="J76" s="5">
        <v>114848</v>
      </c>
      <c r="K76" s="5">
        <v>114928</v>
      </c>
      <c r="L76" s="54">
        <f t="shared" si="10"/>
        <v>114928</v>
      </c>
      <c r="M76" s="5">
        <v>223134</v>
      </c>
      <c r="N76" s="54">
        <f t="shared" si="11"/>
        <v>223134</v>
      </c>
      <c r="O76" s="5">
        <v>223034</v>
      </c>
      <c r="P76" s="5">
        <v>223330</v>
      </c>
      <c r="Q76" s="5">
        <v>223330</v>
      </c>
      <c r="R76" s="5">
        <v>223232</v>
      </c>
      <c r="S76" s="5">
        <v>223232</v>
      </c>
      <c r="T76" s="5">
        <v>223163</v>
      </c>
      <c r="U76" s="54">
        <f t="shared" si="12"/>
        <v>223163</v>
      </c>
      <c r="V76" s="5">
        <v>223163</v>
      </c>
      <c r="W76" s="5">
        <v>223163</v>
      </c>
      <c r="X76" s="5">
        <v>223163</v>
      </c>
      <c r="Y76" s="5">
        <v>223163</v>
      </c>
      <c r="Z76" s="5">
        <v>223163</v>
      </c>
      <c r="AA76" s="5">
        <v>223163</v>
      </c>
      <c r="AB76" s="5">
        <v>223163</v>
      </c>
      <c r="AC76" s="5">
        <v>223163</v>
      </c>
      <c r="AD76" s="5">
        <v>223163</v>
      </c>
      <c r="AE76" s="5">
        <v>223163</v>
      </c>
      <c r="AF76" s="5">
        <v>310393</v>
      </c>
      <c r="AG76" s="5">
        <v>310187</v>
      </c>
      <c r="AH76" s="5">
        <v>310305</v>
      </c>
      <c r="AI76" s="5">
        <v>310305</v>
      </c>
      <c r="AJ76" s="5">
        <v>310305</v>
      </c>
      <c r="AK76" s="5">
        <v>310305</v>
      </c>
      <c r="AL76" s="5">
        <v>310305</v>
      </c>
      <c r="AM76" s="5">
        <v>310305</v>
      </c>
      <c r="AN76" s="5">
        <v>310305</v>
      </c>
      <c r="AO76" s="5">
        <v>310305</v>
      </c>
      <c r="AP76" s="5">
        <v>310305</v>
      </c>
      <c r="AQ76" s="5">
        <v>310305</v>
      </c>
    </row>
    <row r="77" spans="1:43" x14ac:dyDescent="0.2">
      <c r="A77" s="4">
        <v>1988.3</v>
      </c>
      <c r="C77" s="54">
        <v>115889</v>
      </c>
      <c r="D77" s="5">
        <v>115716</v>
      </c>
      <c r="E77" s="5">
        <v>115451</v>
      </c>
      <c r="F77" s="54">
        <f t="shared" si="9"/>
        <v>115451</v>
      </c>
      <c r="G77" s="54">
        <v>115550</v>
      </c>
      <c r="H77" s="5">
        <v>116111</v>
      </c>
      <c r="I77" s="5">
        <v>116035</v>
      </c>
      <c r="J77" s="5">
        <v>116017</v>
      </c>
      <c r="K77" s="5">
        <v>115856</v>
      </c>
      <c r="L77" s="54">
        <f t="shared" si="10"/>
        <v>115856</v>
      </c>
      <c r="M77" s="5">
        <v>224702</v>
      </c>
      <c r="N77" s="54">
        <f t="shared" si="11"/>
        <v>224702</v>
      </c>
      <c r="O77" s="5">
        <v>224709</v>
      </c>
      <c r="P77" s="5">
        <v>224621</v>
      </c>
      <c r="Q77" s="5">
        <v>224621</v>
      </c>
      <c r="R77" s="5">
        <v>224445</v>
      </c>
      <c r="S77" s="5">
        <v>224445</v>
      </c>
      <c r="T77" s="5">
        <v>225077</v>
      </c>
      <c r="U77" s="54">
        <f t="shared" si="12"/>
        <v>225077</v>
      </c>
      <c r="V77" s="5">
        <v>225077</v>
      </c>
      <c r="W77" s="5">
        <v>225077</v>
      </c>
      <c r="X77" s="5">
        <v>225077</v>
      </c>
      <c r="Y77" s="5">
        <v>225077</v>
      </c>
      <c r="Z77" s="5">
        <v>225077</v>
      </c>
      <c r="AA77" s="5">
        <v>225077</v>
      </c>
      <c r="AB77" s="5">
        <v>225077</v>
      </c>
      <c r="AC77" s="5">
        <v>225077</v>
      </c>
      <c r="AD77" s="5">
        <v>225077</v>
      </c>
      <c r="AE77" s="5">
        <v>225077</v>
      </c>
      <c r="AF77" s="5">
        <v>312688</v>
      </c>
      <c r="AG77" s="5">
        <v>312956</v>
      </c>
      <c r="AH77" s="5">
        <v>312467</v>
      </c>
      <c r="AI77" s="5">
        <v>312467</v>
      </c>
      <c r="AJ77" s="5">
        <v>312467</v>
      </c>
      <c r="AK77" s="5">
        <v>312467</v>
      </c>
      <c r="AL77" s="5">
        <v>312467</v>
      </c>
      <c r="AM77" s="5">
        <v>312467</v>
      </c>
      <c r="AN77" s="5">
        <v>312467</v>
      </c>
      <c r="AO77" s="5">
        <v>312467</v>
      </c>
      <c r="AP77" s="5">
        <v>312467</v>
      </c>
      <c r="AQ77" s="5">
        <v>312467</v>
      </c>
    </row>
    <row r="78" spans="1:43" x14ac:dyDescent="0.2">
      <c r="A78" s="4">
        <v>1988.4</v>
      </c>
      <c r="D78" s="5">
        <v>116888</v>
      </c>
      <c r="E78" s="5">
        <v>116655</v>
      </c>
      <c r="F78" s="54">
        <f t="shared" si="9"/>
        <v>116655</v>
      </c>
      <c r="G78" s="54">
        <v>116463</v>
      </c>
      <c r="H78" s="5">
        <v>116856</v>
      </c>
      <c r="I78" s="5">
        <v>117001</v>
      </c>
      <c r="J78" s="5">
        <v>116989</v>
      </c>
      <c r="K78" s="5">
        <v>116903</v>
      </c>
      <c r="L78" s="54">
        <f t="shared" si="10"/>
        <v>116903</v>
      </c>
      <c r="M78" s="5">
        <v>226411</v>
      </c>
      <c r="N78" s="54">
        <f t="shared" si="11"/>
        <v>226411</v>
      </c>
      <c r="O78" s="5">
        <v>226514</v>
      </c>
      <c r="P78" s="5">
        <v>226017</v>
      </c>
      <c r="Q78" s="5">
        <v>226017</v>
      </c>
      <c r="R78" s="5">
        <v>226347</v>
      </c>
      <c r="S78" s="5">
        <v>226347</v>
      </c>
      <c r="T78" s="5">
        <v>225985</v>
      </c>
      <c r="U78" s="54">
        <f t="shared" si="12"/>
        <v>225985</v>
      </c>
      <c r="V78" s="5">
        <v>225985</v>
      </c>
      <c r="W78" s="5">
        <v>225985</v>
      </c>
      <c r="X78" s="5">
        <v>225985</v>
      </c>
      <c r="Y78" s="5">
        <v>225985</v>
      </c>
      <c r="Z78" s="5">
        <v>225985</v>
      </c>
      <c r="AA78" s="5">
        <v>225985</v>
      </c>
      <c r="AB78" s="5">
        <v>225985</v>
      </c>
      <c r="AC78" s="5">
        <v>225985</v>
      </c>
      <c r="AD78" s="5">
        <v>225985</v>
      </c>
      <c r="AE78" s="5">
        <v>225985</v>
      </c>
      <c r="AF78" s="5">
        <v>314209</v>
      </c>
      <c r="AG78" s="5">
        <v>315130</v>
      </c>
      <c r="AH78" s="5">
        <v>315470</v>
      </c>
      <c r="AI78" s="5">
        <v>315470</v>
      </c>
      <c r="AJ78" s="5">
        <v>315470</v>
      </c>
      <c r="AK78" s="5">
        <v>315470</v>
      </c>
      <c r="AL78" s="5">
        <v>315470</v>
      </c>
      <c r="AM78" s="5">
        <v>315470</v>
      </c>
      <c r="AN78" s="5">
        <v>315470</v>
      </c>
      <c r="AO78" s="5">
        <v>315470</v>
      </c>
      <c r="AP78" s="5">
        <v>315470</v>
      </c>
      <c r="AQ78" s="5">
        <v>315470</v>
      </c>
    </row>
    <row r="79" spans="1:43" x14ac:dyDescent="0.2">
      <c r="A79" s="4">
        <v>1989.1</v>
      </c>
      <c r="E79" s="5">
        <v>117513</v>
      </c>
      <c r="F79" s="54">
        <f>E79</f>
        <v>117513</v>
      </c>
      <c r="G79" s="54">
        <v>117574</v>
      </c>
      <c r="H79" s="5">
        <v>118014</v>
      </c>
      <c r="I79" s="5">
        <v>117794</v>
      </c>
      <c r="J79" s="5">
        <v>117696</v>
      </c>
      <c r="K79" s="5">
        <v>117855</v>
      </c>
      <c r="L79" s="54">
        <f t="shared" si="10"/>
        <v>117855</v>
      </c>
      <c r="M79" s="5">
        <v>227723</v>
      </c>
      <c r="N79" s="54">
        <f t="shared" si="11"/>
        <v>227723</v>
      </c>
      <c r="O79" s="5">
        <v>227959</v>
      </c>
      <c r="P79" s="5">
        <v>227596</v>
      </c>
      <c r="Q79" s="5">
        <v>227596</v>
      </c>
      <c r="R79" s="5">
        <v>227661</v>
      </c>
      <c r="S79" s="5">
        <v>227661</v>
      </c>
      <c r="T79" s="5">
        <v>227639</v>
      </c>
      <c r="U79" s="54">
        <f t="shared" si="12"/>
        <v>227639</v>
      </c>
      <c r="V79" s="5">
        <v>227639</v>
      </c>
      <c r="W79" s="5">
        <v>227639</v>
      </c>
      <c r="X79" s="5">
        <v>227860</v>
      </c>
      <c r="Y79" s="5">
        <v>227860</v>
      </c>
      <c r="Z79" s="5">
        <v>227860</v>
      </c>
      <c r="AA79" s="5">
        <v>227860</v>
      </c>
      <c r="AB79" s="5">
        <v>227860</v>
      </c>
      <c r="AC79" s="5">
        <v>227860</v>
      </c>
      <c r="AD79" s="5">
        <v>227860</v>
      </c>
      <c r="AE79" s="5">
        <v>227860</v>
      </c>
      <c r="AF79" s="5">
        <v>317513</v>
      </c>
      <c r="AG79" s="5">
        <v>317731</v>
      </c>
      <c r="AH79" s="5">
        <v>317377</v>
      </c>
      <c r="AI79" s="5">
        <v>317377</v>
      </c>
      <c r="AJ79" s="5">
        <v>317377</v>
      </c>
      <c r="AK79" s="5">
        <v>317377</v>
      </c>
      <c r="AL79" s="5">
        <v>317377</v>
      </c>
      <c r="AM79" s="5">
        <v>317377</v>
      </c>
      <c r="AN79" s="5">
        <v>317377</v>
      </c>
      <c r="AO79" s="5">
        <v>317377</v>
      </c>
      <c r="AP79" s="5">
        <v>317377</v>
      </c>
      <c r="AQ79" s="5">
        <v>317377</v>
      </c>
    </row>
    <row r="80" spans="1:43" x14ac:dyDescent="0.2">
      <c r="A80" s="4">
        <v>1989.2</v>
      </c>
      <c r="F80" s="54">
        <v>118292</v>
      </c>
      <c r="G80" s="54">
        <v>117990</v>
      </c>
      <c r="H80" s="5">
        <v>118794</v>
      </c>
      <c r="I80" s="5">
        <v>118735</v>
      </c>
      <c r="J80" s="5">
        <v>118721</v>
      </c>
      <c r="K80" s="5">
        <v>118758</v>
      </c>
      <c r="L80" s="54">
        <f t="shared" si="10"/>
        <v>118758</v>
      </c>
      <c r="M80" s="5">
        <v>229849</v>
      </c>
      <c r="N80" s="54">
        <f t="shared" si="11"/>
        <v>229849</v>
      </c>
      <c r="O80" s="5">
        <v>229918</v>
      </c>
      <c r="P80" s="5">
        <v>229725</v>
      </c>
      <c r="Q80" s="5">
        <v>229725</v>
      </c>
      <c r="R80" s="5">
        <v>229748</v>
      </c>
      <c r="S80" s="5">
        <v>229748</v>
      </c>
      <c r="T80" s="5">
        <v>229084</v>
      </c>
      <c r="U80" s="54">
        <f t="shared" si="12"/>
        <v>229084</v>
      </c>
      <c r="V80" s="5">
        <v>229084</v>
      </c>
      <c r="W80" s="5">
        <v>229084</v>
      </c>
      <c r="X80" s="5">
        <v>229100</v>
      </c>
      <c r="Y80" s="5">
        <v>229100</v>
      </c>
      <c r="Z80" s="5">
        <v>229100</v>
      </c>
      <c r="AA80" s="5">
        <v>229100</v>
      </c>
      <c r="AB80" s="5">
        <v>229100</v>
      </c>
      <c r="AC80" s="5">
        <v>229100</v>
      </c>
      <c r="AD80" s="5">
        <v>229100</v>
      </c>
      <c r="AE80" s="5">
        <v>229100</v>
      </c>
      <c r="AF80" s="5">
        <v>318495</v>
      </c>
      <c r="AG80" s="5">
        <v>318567</v>
      </c>
      <c r="AH80" s="5">
        <v>319084</v>
      </c>
      <c r="AI80" s="5">
        <v>319084</v>
      </c>
      <c r="AJ80" s="5">
        <v>319084</v>
      </c>
      <c r="AK80" s="5">
        <v>319084</v>
      </c>
      <c r="AL80" s="5">
        <v>319084</v>
      </c>
      <c r="AM80" s="5">
        <v>319084</v>
      </c>
      <c r="AN80" s="5">
        <v>319084</v>
      </c>
      <c r="AO80" s="5">
        <v>319084</v>
      </c>
      <c r="AP80" s="5">
        <v>319084</v>
      </c>
      <c r="AQ80" s="5">
        <v>319084</v>
      </c>
    </row>
    <row r="81" spans="1:43" x14ac:dyDescent="0.2">
      <c r="A81" s="4">
        <v>1989.3</v>
      </c>
      <c r="G81" s="54">
        <v>118929</v>
      </c>
      <c r="H81" s="5">
        <v>119624</v>
      </c>
      <c r="I81" s="5">
        <v>119715</v>
      </c>
      <c r="J81" s="5">
        <v>119651</v>
      </c>
      <c r="K81" s="5">
        <v>119563</v>
      </c>
      <c r="L81" s="54">
        <f t="shared" si="10"/>
        <v>119563</v>
      </c>
      <c r="M81" s="5">
        <v>232081</v>
      </c>
      <c r="N81" s="54">
        <f t="shared" si="11"/>
        <v>232081</v>
      </c>
      <c r="O81" s="5">
        <v>231893</v>
      </c>
      <c r="P81" s="5">
        <v>231704</v>
      </c>
      <c r="Q81" s="5">
        <v>231704</v>
      </c>
      <c r="R81" s="5">
        <v>231522</v>
      </c>
      <c r="S81" s="5">
        <v>231522</v>
      </c>
      <c r="T81" s="5">
        <v>232231</v>
      </c>
      <c r="U81" s="54">
        <f t="shared" si="12"/>
        <v>232231</v>
      </c>
      <c r="V81" s="5">
        <v>232231</v>
      </c>
      <c r="W81" s="5">
        <v>232231</v>
      </c>
      <c r="X81" s="5">
        <v>231690</v>
      </c>
      <c r="Y81" s="5">
        <v>231690</v>
      </c>
      <c r="Z81" s="5">
        <v>231690</v>
      </c>
      <c r="AA81" s="5">
        <v>231690</v>
      </c>
      <c r="AB81" s="5">
        <v>231690</v>
      </c>
      <c r="AC81" s="5">
        <v>231690</v>
      </c>
      <c r="AD81" s="5">
        <v>231690</v>
      </c>
      <c r="AE81" s="5">
        <v>231690</v>
      </c>
      <c r="AF81" s="5">
        <v>322603</v>
      </c>
      <c r="AG81" s="5">
        <v>322227</v>
      </c>
      <c r="AH81" s="5">
        <v>321280</v>
      </c>
      <c r="AI81" s="5">
        <v>321280</v>
      </c>
      <c r="AJ81" s="5">
        <v>321280</v>
      </c>
      <c r="AK81" s="5">
        <v>321280</v>
      </c>
      <c r="AL81" s="5">
        <v>321280</v>
      </c>
      <c r="AM81" s="5">
        <v>321280</v>
      </c>
      <c r="AN81" s="5">
        <v>321280</v>
      </c>
      <c r="AO81" s="5">
        <v>321280</v>
      </c>
      <c r="AP81" s="5">
        <v>321280</v>
      </c>
      <c r="AQ81" s="5">
        <v>321280</v>
      </c>
    </row>
    <row r="82" spans="1:43" x14ac:dyDescent="0.2">
      <c r="A82" s="4">
        <v>1989.4</v>
      </c>
      <c r="H82" s="5">
        <v>120146</v>
      </c>
      <c r="I82" s="5">
        <v>120334</v>
      </c>
      <c r="J82" s="5">
        <v>120511</v>
      </c>
      <c r="K82" s="5">
        <v>120402</v>
      </c>
      <c r="L82" s="54">
        <f>K82</f>
        <v>120402</v>
      </c>
      <c r="M82" s="5">
        <v>232905</v>
      </c>
      <c r="N82" s="54">
        <f>M82</f>
        <v>232905</v>
      </c>
      <c r="O82" s="5">
        <v>232788</v>
      </c>
      <c r="P82" s="5">
        <v>232690</v>
      </c>
      <c r="Q82" s="5">
        <v>232690</v>
      </c>
      <c r="R82" s="5">
        <v>232784</v>
      </c>
      <c r="S82" s="5">
        <v>232784</v>
      </c>
      <c r="T82" s="5">
        <v>232761</v>
      </c>
      <c r="U82" s="54">
        <f t="shared" si="12"/>
        <v>232761</v>
      </c>
      <c r="V82" s="5">
        <v>232761</v>
      </c>
      <c r="W82" s="5">
        <v>232761</v>
      </c>
      <c r="X82" s="5">
        <v>233064</v>
      </c>
      <c r="Y82" s="5">
        <v>233064</v>
      </c>
      <c r="Z82" s="5">
        <v>233064</v>
      </c>
      <c r="AA82" s="5">
        <v>233064</v>
      </c>
      <c r="AB82" s="5">
        <v>233064</v>
      </c>
      <c r="AC82" s="5">
        <v>233064</v>
      </c>
      <c r="AD82" s="5">
        <v>233064</v>
      </c>
      <c r="AE82" s="5">
        <v>233064</v>
      </c>
      <c r="AF82" s="5">
        <v>324294</v>
      </c>
      <c r="AG82" s="5">
        <v>324380</v>
      </c>
      <c r="AH82" s="5">
        <v>325165</v>
      </c>
      <c r="AI82" s="5">
        <v>325165</v>
      </c>
      <c r="AJ82" s="5">
        <v>325165</v>
      </c>
      <c r="AK82" s="5">
        <v>325165</v>
      </c>
      <c r="AL82" s="5">
        <v>325165</v>
      </c>
      <c r="AM82" s="5">
        <v>325165</v>
      </c>
      <c r="AN82" s="5">
        <v>325165</v>
      </c>
      <c r="AO82" s="5">
        <v>325165</v>
      </c>
      <c r="AP82" s="5">
        <v>325165</v>
      </c>
      <c r="AQ82" s="5">
        <v>325165</v>
      </c>
    </row>
    <row r="83" spans="1:43" x14ac:dyDescent="0.2">
      <c r="A83" s="4">
        <v>1990.1</v>
      </c>
      <c r="I83" s="5">
        <v>121464</v>
      </c>
      <c r="J83" s="5">
        <v>121263</v>
      </c>
      <c r="K83" s="5">
        <v>121389</v>
      </c>
      <c r="L83" s="54">
        <v>121097</v>
      </c>
      <c r="M83" s="5">
        <v>234859</v>
      </c>
      <c r="N83" s="54">
        <v>234768.24</v>
      </c>
      <c r="O83" s="5">
        <v>234521</v>
      </c>
      <c r="P83" s="5">
        <v>234437</v>
      </c>
      <c r="Q83" s="5">
        <v>234411</v>
      </c>
      <c r="R83" s="5">
        <v>234515</v>
      </c>
      <c r="S83" s="5">
        <v>234539</v>
      </c>
      <c r="T83" s="5">
        <v>234480</v>
      </c>
      <c r="U83" s="54">
        <f t="shared" si="12"/>
        <v>234480</v>
      </c>
      <c r="V83" s="5">
        <v>234480</v>
      </c>
      <c r="W83" s="5">
        <v>234480</v>
      </c>
      <c r="X83" s="5">
        <v>234075</v>
      </c>
      <c r="Y83" s="5">
        <v>234075</v>
      </c>
      <c r="Z83" s="5">
        <v>234075</v>
      </c>
      <c r="AA83" s="5">
        <v>234075</v>
      </c>
      <c r="AB83" s="5">
        <v>234060</v>
      </c>
      <c r="AC83" s="5">
        <v>234060</v>
      </c>
      <c r="AD83" s="5">
        <v>234060</v>
      </c>
      <c r="AE83" s="5">
        <v>234060</v>
      </c>
      <c r="AF83" s="5">
        <v>325902</v>
      </c>
      <c r="AG83" s="5">
        <v>326714</v>
      </c>
      <c r="AH83" s="5">
        <v>327208</v>
      </c>
      <c r="AI83" s="5">
        <v>327208</v>
      </c>
      <c r="AJ83" s="5">
        <v>327208</v>
      </c>
      <c r="AK83" s="5">
        <v>327208</v>
      </c>
      <c r="AL83" s="5">
        <v>327208</v>
      </c>
      <c r="AM83" s="5">
        <v>327208</v>
      </c>
      <c r="AN83" s="5">
        <v>327208</v>
      </c>
      <c r="AO83" s="5">
        <v>327208</v>
      </c>
      <c r="AP83" s="5">
        <v>327208</v>
      </c>
      <c r="AQ83" s="5">
        <v>327208</v>
      </c>
    </row>
    <row r="84" spans="1:43" x14ac:dyDescent="0.2">
      <c r="A84" s="4">
        <v>1990.2</v>
      </c>
      <c r="J84" s="5">
        <v>121018</v>
      </c>
      <c r="K84" s="5">
        <v>120924</v>
      </c>
      <c r="L84" s="54">
        <v>120964</v>
      </c>
      <c r="M84" s="5">
        <v>234387</v>
      </c>
      <c r="N84" s="54">
        <f>N83*(1-0.003)</f>
        <v>234063.93527999998</v>
      </c>
      <c r="O84" s="5">
        <v>234801</v>
      </c>
      <c r="P84" s="5">
        <v>234642</v>
      </c>
      <c r="Q84" s="5">
        <v>234578</v>
      </c>
      <c r="R84" s="5">
        <v>234550</v>
      </c>
      <c r="S84" s="5">
        <v>234485</v>
      </c>
      <c r="T84" s="5">
        <v>234300</v>
      </c>
      <c r="U84" s="54">
        <f t="shared" si="12"/>
        <v>234300</v>
      </c>
      <c r="V84" s="5">
        <v>234300</v>
      </c>
      <c r="W84" s="5">
        <v>234300</v>
      </c>
      <c r="X84" s="5">
        <v>234402</v>
      </c>
      <c r="Y84" s="5">
        <v>234402</v>
      </c>
      <c r="Z84" s="5">
        <v>234402</v>
      </c>
      <c r="AA84" s="5">
        <v>234402</v>
      </c>
      <c r="AB84" s="5">
        <v>234172</v>
      </c>
      <c r="AC84" s="5">
        <v>234172</v>
      </c>
      <c r="AD84" s="5">
        <v>234172</v>
      </c>
      <c r="AE84" s="5">
        <v>234172</v>
      </c>
      <c r="AF84" s="5">
        <v>325927</v>
      </c>
      <c r="AG84" s="5">
        <v>325749</v>
      </c>
      <c r="AH84" s="5">
        <v>327324</v>
      </c>
      <c r="AI84" s="5">
        <v>327324</v>
      </c>
      <c r="AJ84" s="5">
        <v>327324</v>
      </c>
      <c r="AK84" s="5">
        <v>327324</v>
      </c>
      <c r="AL84" s="5">
        <v>327324</v>
      </c>
      <c r="AM84" s="5">
        <v>327324</v>
      </c>
      <c r="AN84" s="5">
        <v>327324</v>
      </c>
      <c r="AO84" s="5">
        <v>327324</v>
      </c>
      <c r="AP84" s="5">
        <v>327324</v>
      </c>
      <c r="AQ84" s="5">
        <v>327324</v>
      </c>
    </row>
    <row r="85" spans="1:43" x14ac:dyDescent="0.2">
      <c r="A85" s="4">
        <v>1990.3</v>
      </c>
      <c r="K85" s="5">
        <v>121725</v>
      </c>
      <c r="L85" s="54">
        <v>121705</v>
      </c>
      <c r="M85" s="5">
        <v>235563</v>
      </c>
      <c r="N85" s="54">
        <f>N84*(1+0.006)</f>
        <v>235468.31889167998</v>
      </c>
      <c r="O85" s="5">
        <v>235732</v>
      </c>
      <c r="P85" s="5">
        <v>236721</v>
      </c>
      <c r="Q85" s="5">
        <v>236905</v>
      </c>
      <c r="R85" s="5">
        <v>236737</v>
      </c>
      <c r="S85" s="5">
        <v>236777</v>
      </c>
      <c r="T85" s="5">
        <v>236810</v>
      </c>
      <c r="U85" s="54">
        <f t="shared" si="12"/>
        <v>236810</v>
      </c>
      <c r="V85" s="5">
        <v>236810</v>
      </c>
      <c r="W85" s="5">
        <v>236810</v>
      </c>
      <c r="X85" s="5">
        <v>236973</v>
      </c>
      <c r="Y85" s="5">
        <v>236973</v>
      </c>
      <c r="Z85" s="5">
        <v>236973</v>
      </c>
      <c r="AA85" s="5">
        <v>236973</v>
      </c>
      <c r="AB85" s="5">
        <v>237649</v>
      </c>
      <c r="AC85" s="5">
        <v>237649</v>
      </c>
      <c r="AD85" s="5">
        <v>237649</v>
      </c>
      <c r="AE85" s="5">
        <v>237649</v>
      </c>
      <c r="AF85" s="5">
        <v>330909</v>
      </c>
      <c r="AG85" s="5">
        <v>330671</v>
      </c>
      <c r="AH85" s="5">
        <v>328675</v>
      </c>
      <c r="AI85" s="5">
        <v>328675</v>
      </c>
      <c r="AJ85" s="5">
        <v>328675</v>
      </c>
      <c r="AK85" s="5">
        <v>328675</v>
      </c>
      <c r="AL85" s="5">
        <v>328675</v>
      </c>
      <c r="AM85" s="5">
        <v>328675</v>
      </c>
      <c r="AN85" s="5">
        <v>328675</v>
      </c>
      <c r="AO85" s="5">
        <v>328675</v>
      </c>
      <c r="AP85" s="5">
        <v>328675</v>
      </c>
      <c r="AQ85" s="5">
        <v>328675</v>
      </c>
    </row>
    <row r="86" spans="1:43" x14ac:dyDescent="0.2">
      <c r="A86" s="4">
        <v>1990.4</v>
      </c>
      <c r="L86" s="54">
        <v>121508</v>
      </c>
      <c r="M86" s="5">
        <v>235766</v>
      </c>
      <c r="N86" s="54">
        <f>N85*(1+0.002)</f>
        <v>235939.25552946335</v>
      </c>
      <c r="O86" s="5">
        <v>235520</v>
      </c>
      <c r="P86" s="5">
        <v>236472</v>
      </c>
      <c r="Q86" s="5">
        <v>236378</v>
      </c>
      <c r="R86" s="5">
        <v>236469</v>
      </c>
      <c r="S86" s="5">
        <v>236471</v>
      </c>
      <c r="T86" s="5">
        <v>235797</v>
      </c>
      <c r="U86" s="54">
        <f t="shared" si="12"/>
        <v>235797</v>
      </c>
      <c r="V86" s="5">
        <v>235797</v>
      </c>
      <c r="W86" s="5">
        <v>235797</v>
      </c>
      <c r="X86" s="5">
        <v>235937</v>
      </c>
      <c r="Y86" s="5">
        <v>235937</v>
      </c>
      <c r="Z86" s="5">
        <v>235937</v>
      </c>
      <c r="AA86" s="5">
        <v>235937</v>
      </c>
      <c r="AB86" s="5">
        <v>235507</v>
      </c>
      <c r="AC86" s="5">
        <v>235507</v>
      </c>
      <c r="AD86" s="5">
        <v>235507</v>
      </c>
      <c r="AE86" s="5">
        <v>235507</v>
      </c>
      <c r="AF86" s="5">
        <v>327921</v>
      </c>
      <c r="AG86" s="5">
        <v>327525</v>
      </c>
      <c r="AH86" s="5">
        <v>327451</v>
      </c>
      <c r="AI86" s="5">
        <v>327451</v>
      </c>
      <c r="AJ86" s="5">
        <v>327451</v>
      </c>
      <c r="AK86" s="5">
        <v>327451</v>
      </c>
      <c r="AL86" s="5">
        <v>327451</v>
      </c>
      <c r="AM86" s="5">
        <v>327451</v>
      </c>
      <c r="AN86" s="5">
        <v>327451</v>
      </c>
      <c r="AO86" s="5">
        <v>327451</v>
      </c>
      <c r="AP86" s="5">
        <v>327451</v>
      </c>
      <c r="AQ86" s="5">
        <v>327451</v>
      </c>
    </row>
    <row r="87" spans="1:43" x14ac:dyDescent="0.2">
      <c r="A87" s="4">
        <v>1991.1</v>
      </c>
      <c r="M87" s="5">
        <v>236589</v>
      </c>
      <c r="N87" s="54">
        <f>N86*(1+0.002)</f>
        <v>236411.13404052227</v>
      </c>
      <c r="O87" s="5">
        <v>236941</v>
      </c>
      <c r="P87" s="5">
        <v>237708</v>
      </c>
      <c r="Q87" s="5">
        <v>237179</v>
      </c>
      <c r="R87" s="5">
        <v>237404</v>
      </c>
      <c r="S87" s="5">
        <v>237451</v>
      </c>
      <c r="T87" s="5">
        <v>236776</v>
      </c>
      <c r="U87" s="54">
        <f t="shared" si="12"/>
        <v>236776</v>
      </c>
      <c r="V87" s="5">
        <v>236969</v>
      </c>
      <c r="W87" s="5">
        <v>236776</v>
      </c>
      <c r="X87" s="5">
        <v>236518</v>
      </c>
      <c r="Y87" s="5">
        <v>236518</v>
      </c>
      <c r="Z87" s="5">
        <v>236518</v>
      </c>
      <c r="AA87" s="5">
        <v>236518</v>
      </c>
      <c r="AB87" s="5">
        <v>237020</v>
      </c>
      <c r="AC87" s="5">
        <v>237020</v>
      </c>
      <c r="AD87" s="5">
        <v>237020</v>
      </c>
      <c r="AE87" s="5">
        <v>237020</v>
      </c>
      <c r="AF87" s="5">
        <v>329992</v>
      </c>
      <c r="AG87" s="5">
        <v>329832</v>
      </c>
      <c r="AH87" s="5">
        <v>329180</v>
      </c>
      <c r="AI87" s="5">
        <v>329180</v>
      </c>
      <c r="AJ87" s="5">
        <v>329180</v>
      </c>
      <c r="AK87" s="5">
        <v>329180</v>
      </c>
      <c r="AL87" s="5">
        <v>329180</v>
      </c>
      <c r="AM87" s="5">
        <v>329180</v>
      </c>
      <c r="AN87" s="5">
        <v>329180</v>
      </c>
      <c r="AO87" s="5">
        <v>329180</v>
      </c>
      <c r="AP87" s="5">
        <v>329180</v>
      </c>
      <c r="AQ87" s="5">
        <v>329180</v>
      </c>
    </row>
    <row r="88" spans="1:43" x14ac:dyDescent="0.2">
      <c r="A88" s="4">
        <v>1991.2</v>
      </c>
      <c r="N88" s="54">
        <f>N87*(1+0.003)</f>
        <v>237120.36744264382</v>
      </c>
      <c r="O88" s="5">
        <v>237935</v>
      </c>
      <c r="P88" s="5">
        <v>238815</v>
      </c>
      <c r="Q88" s="5">
        <v>238657</v>
      </c>
      <c r="R88" s="5">
        <v>238709</v>
      </c>
      <c r="S88" s="5">
        <v>238700</v>
      </c>
      <c r="T88" s="5">
        <v>237905</v>
      </c>
      <c r="U88" s="54">
        <f t="shared" si="12"/>
        <v>237905</v>
      </c>
      <c r="V88" s="5">
        <v>238091</v>
      </c>
      <c r="W88" s="5">
        <v>238042</v>
      </c>
      <c r="X88" s="5">
        <v>237423</v>
      </c>
      <c r="Y88" s="5">
        <v>237423</v>
      </c>
      <c r="Z88" s="5">
        <v>237423</v>
      </c>
      <c r="AA88" s="5">
        <v>237423</v>
      </c>
      <c r="AB88" s="5">
        <v>237309</v>
      </c>
      <c r="AC88" s="5">
        <v>237309</v>
      </c>
      <c r="AD88" s="5">
        <v>237309</v>
      </c>
      <c r="AE88" s="5">
        <v>237309</v>
      </c>
      <c r="AF88" s="5">
        <v>330438</v>
      </c>
      <c r="AG88" s="5">
        <v>330355</v>
      </c>
      <c r="AH88" s="5">
        <v>330198</v>
      </c>
      <c r="AI88" s="5">
        <v>330198</v>
      </c>
      <c r="AJ88" s="5">
        <v>330198</v>
      </c>
      <c r="AK88" s="5">
        <v>330198</v>
      </c>
      <c r="AL88" s="5">
        <v>330198</v>
      </c>
      <c r="AM88" s="5">
        <v>330198</v>
      </c>
      <c r="AN88" s="5">
        <v>330198</v>
      </c>
      <c r="AO88" s="5">
        <v>330198</v>
      </c>
      <c r="AP88" s="5">
        <v>330198</v>
      </c>
      <c r="AQ88" s="5">
        <v>330198</v>
      </c>
    </row>
    <row r="89" spans="1:43" x14ac:dyDescent="0.2">
      <c r="A89" s="4">
        <v>1991.3</v>
      </c>
      <c r="O89" s="5">
        <v>238060</v>
      </c>
      <c r="P89" s="5">
        <v>239301</v>
      </c>
      <c r="Q89" s="5">
        <v>239458</v>
      </c>
      <c r="R89" s="5">
        <v>239330</v>
      </c>
      <c r="S89" s="5">
        <v>239131</v>
      </c>
      <c r="T89" s="5">
        <v>238694</v>
      </c>
      <c r="U89" s="54">
        <f t="shared" si="12"/>
        <v>238694</v>
      </c>
      <c r="V89" s="5">
        <v>238387</v>
      </c>
      <c r="W89" s="5">
        <v>238593</v>
      </c>
      <c r="X89" s="5">
        <v>238609</v>
      </c>
      <c r="Y89" s="5">
        <v>238609</v>
      </c>
      <c r="Z89" s="5">
        <v>238609</v>
      </c>
      <c r="AA89" s="5">
        <v>238609</v>
      </c>
      <c r="AB89" s="5">
        <v>238451</v>
      </c>
      <c r="AC89" s="5">
        <v>238451</v>
      </c>
      <c r="AD89" s="5">
        <v>238451</v>
      </c>
      <c r="AE89" s="5">
        <v>238451</v>
      </c>
      <c r="AF89" s="5">
        <v>331470</v>
      </c>
      <c r="AG89" s="5">
        <v>331653</v>
      </c>
      <c r="AH89" s="5">
        <v>332468</v>
      </c>
      <c r="AI89" s="5">
        <v>332468</v>
      </c>
      <c r="AJ89" s="5">
        <v>332468</v>
      </c>
      <c r="AK89" s="5">
        <v>332468</v>
      </c>
      <c r="AL89" s="5">
        <v>332468</v>
      </c>
      <c r="AM89" s="5">
        <v>332468</v>
      </c>
      <c r="AN89" s="5">
        <v>332468</v>
      </c>
      <c r="AO89" s="5">
        <v>332468</v>
      </c>
      <c r="AP89" s="5">
        <v>332468</v>
      </c>
      <c r="AQ89" s="5">
        <v>332468</v>
      </c>
    </row>
    <row r="90" spans="1:43" x14ac:dyDescent="0.2">
      <c r="A90" s="4">
        <v>1991.4</v>
      </c>
      <c r="P90" s="5">
        <v>239994</v>
      </c>
      <c r="Q90" s="5">
        <v>240523</v>
      </c>
      <c r="R90" s="5">
        <v>240374</v>
      </c>
      <c r="S90" s="5">
        <v>240534</v>
      </c>
      <c r="T90" s="5">
        <v>239806</v>
      </c>
      <c r="U90" s="54">
        <f>T90</f>
        <v>239806</v>
      </c>
      <c r="V90" s="5">
        <v>239734</v>
      </c>
      <c r="W90" s="5">
        <v>239770</v>
      </c>
      <c r="X90" s="5">
        <v>240135</v>
      </c>
      <c r="Y90" s="5">
        <v>240135</v>
      </c>
      <c r="Z90" s="5">
        <v>240135</v>
      </c>
      <c r="AA90" s="5">
        <v>240135</v>
      </c>
      <c r="AB90" s="5">
        <v>239905</v>
      </c>
      <c r="AC90" s="5">
        <v>239905</v>
      </c>
      <c r="AD90" s="5">
        <v>239905</v>
      </c>
      <c r="AE90" s="5">
        <v>239905</v>
      </c>
      <c r="AF90" s="5">
        <v>333682</v>
      </c>
      <c r="AG90" s="5">
        <v>333742</v>
      </c>
      <c r="AH90" s="5">
        <v>333736</v>
      </c>
      <c r="AI90" s="5">
        <v>333736</v>
      </c>
      <c r="AJ90" s="5">
        <v>333736</v>
      </c>
      <c r="AK90" s="5">
        <v>333736</v>
      </c>
      <c r="AL90" s="5">
        <v>333736</v>
      </c>
      <c r="AM90" s="5">
        <v>333736</v>
      </c>
      <c r="AN90" s="5">
        <v>333736</v>
      </c>
      <c r="AO90" s="5">
        <v>333736</v>
      </c>
      <c r="AP90" s="5">
        <v>333736</v>
      </c>
      <c r="AQ90" s="5">
        <v>333736</v>
      </c>
    </row>
    <row r="91" spans="1:43" x14ac:dyDescent="0.2">
      <c r="A91" s="4">
        <v>1992.1</v>
      </c>
      <c r="Q91" s="5">
        <v>241925</v>
      </c>
      <c r="R91" s="5">
        <v>241702</v>
      </c>
      <c r="S91" s="5">
        <v>241902</v>
      </c>
      <c r="T91" s="5">
        <v>241094</v>
      </c>
      <c r="U91" s="54">
        <v>241005.03</v>
      </c>
      <c r="V91" s="5">
        <v>241248</v>
      </c>
      <c r="W91" s="5">
        <v>240903</v>
      </c>
      <c r="X91" s="5">
        <v>240721</v>
      </c>
      <c r="Y91" s="5">
        <v>241129</v>
      </c>
      <c r="Z91" s="5">
        <v>240886</v>
      </c>
      <c r="AA91" s="5">
        <v>241143</v>
      </c>
      <c r="AB91" s="5">
        <v>241361</v>
      </c>
      <c r="AC91" s="5">
        <v>241361</v>
      </c>
      <c r="AD91" s="5">
        <v>241361</v>
      </c>
      <c r="AE91" s="5">
        <v>241361</v>
      </c>
      <c r="AF91" s="5">
        <v>334439</v>
      </c>
      <c r="AG91" s="5">
        <v>334314</v>
      </c>
      <c r="AH91" s="5">
        <v>334098</v>
      </c>
      <c r="AI91" s="5">
        <v>334098</v>
      </c>
      <c r="AJ91" s="5">
        <v>334390</v>
      </c>
      <c r="AK91" s="5">
        <v>334389</v>
      </c>
      <c r="AL91" s="5">
        <v>334389</v>
      </c>
      <c r="AM91" s="5">
        <v>334389</v>
      </c>
      <c r="AN91" s="5">
        <v>334389</v>
      </c>
      <c r="AO91" s="5">
        <v>334389</v>
      </c>
      <c r="AP91" s="5">
        <v>334389</v>
      </c>
      <c r="AQ91" s="5">
        <v>334389</v>
      </c>
    </row>
    <row r="92" spans="1:43" x14ac:dyDescent="0.2">
      <c r="A92" s="4">
        <v>1992.2</v>
      </c>
      <c r="R92" s="5">
        <v>242225</v>
      </c>
      <c r="S92" s="5">
        <v>242501</v>
      </c>
      <c r="T92" s="5">
        <v>241499</v>
      </c>
      <c r="U92" s="54">
        <v>241487.04005999997</v>
      </c>
      <c r="V92" s="5">
        <v>241812</v>
      </c>
      <c r="W92" s="5">
        <v>241662</v>
      </c>
      <c r="X92" s="5">
        <v>241073</v>
      </c>
      <c r="Y92" s="5">
        <v>241167</v>
      </c>
      <c r="Z92" s="5">
        <v>241127</v>
      </c>
      <c r="AA92" s="5">
        <v>240947</v>
      </c>
      <c r="AB92" s="5">
        <v>241120</v>
      </c>
      <c r="AC92" s="5">
        <v>241120</v>
      </c>
      <c r="AD92" s="5">
        <v>241120</v>
      </c>
      <c r="AE92" s="5">
        <v>241120</v>
      </c>
      <c r="AF92" s="5">
        <v>334747</v>
      </c>
      <c r="AG92" s="5">
        <v>334569</v>
      </c>
      <c r="AH92" s="5">
        <v>334748</v>
      </c>
      <c r="AI92" s="5">
        <v>334748</v>
      </c>
      <c r="AJ92" s="5">
        <v>334639</v>
      </c>
      <c r="AK92" s="5">
        <v>334639</v>
      </c>
      <c r="AL92" s="5">
        <v>334639</v>
      </c>
      <c r="AM92" s="5">
        <v>334639</v>
      </c>
      <c r="AN92" s="5">
        <v>334639</v>
      </c>
      <c r="AO92" s="5">
        <v>334639</v>
      </c>
      <c r="AP92" s="5">
        <v>334639</v>
      </c>
      <c r="AQ92" s="5">
        <v>334639</v>
      </c>
    </row>
    <row r="93" spans="1:43" x14ac:dyDescent="0.2">
      <c r="A93" s="4">
        <v>1992.3</v>
      </c>
      <c r="S93" s="5">
        <v>241022</v>
      </c>
      <c r="T93" s="5">
        <v>240408</v>
      </c>
      <c r="U93" s="54">
        <v>240279.60485969996</v>
      </c>
      <c r="V93" s="5">
        <v>240081</v>
      </c>
      <c r="W93" s="5">
        <v>240348</v>
      </c>
      <c r="X93" s="5">
        <v>239237</v>
      </c>
      <c r="Y93" s="5">
        <v>238848</v>
      </c>
      <c r="Z93" s="5">
        <v>239006</v>
      </c>
      <c r="AA93" s="5">
        <v>238874</v>
      </c>
      <c r="AB93" s="5">
        <v>238584</v>
      </c>
      <c r="AC93" s="5">
        <v>238584</v>
      </c>
      <c r="AD93" s="5">
        <v>238584</v>
      </c>
      <c r="AE93" s="5">
        <v>238584</v>
      </c>
      <c r="AF93" s="5">
        <v>332043</v>
      </c>
      <c r="AG93" s="5">
        <v>331994</v>
      </c>
      <c r="AH93" s="5">
        <v>333113</v>
      </c>
      <c r="AI93" s="5">
        <v>333113</v>
      </c>
      <c r="AJ93" s="5">
        <v>333022</v>
      </c>
      <c r="AK93" s="5">
        <v>333022</v>
      </c>
      <c r="AL93" s="5">
        <v>333022</v>
      </c>
      <c r="AM93" s="5">
        <v>333022</v>
      </c>
      <c r="AN93" s="5">
        <v>333022</v>
      </c>
      <c r="AO93" s="5">
        <v>333022</v>
      </c>
      <c r="AP93" s="5">
        <v>333022</v>
      </c>
      <c r="AQ93" s="5">
        <v>333022</v>
      </c>
    </row>
    <row r="94" spans="1:43" x14ac:dyDescent="0.2">
      <c r="A94" s="4">
        <v>1992.4</v>
      </c>
      <c r="T94" s="5">
        <v>239036</v>
      </c>
      <c r="U94" s="54">
        <v>238837.92723054177</v>
      </c>
      <c r="V94" s="5">
        <v>238896</v>
      </c>
      <c r="W94" s="5">
        <v>239123</v>
      </c>
      <c r="X94" s="5">
        <v>238783</v>
      </c>
      <c r="Y94" s="5">
        <v>238670</v>
      </c>
      <c r="Z94" s="5">
        <v>238795</v>
      </c>
      <c r="AA94" s="5">
        <v>238851</v>
      </c>
      <c r="AB94" s="5">
        <v>238590</v>
      </c>
      <c r="AC94" s="5">
        <v>238590</v>
      </c>
      <c r="AD94" s="5">
        <v>238590</v>
      </c>
      <c r="AE94" s="5">
        <v>238590</v>
      </c>
      <c r="AF94" s="5">
        <v>331843</v>
      </c>
      <c r="AG94" s="5">
        <v>332195</v>
      </c>
      <c r="AH94" s="5">
        <v>331113</v>
      </c>
      <c r="AI94" s="5">
        <v>331113</v>
      </c>
      <c r="AJ94" s="5">
        <v>331021</v>
      </c>
      <c r="AK94" s="5">
        <v>331022</v>
      </c>
      <c r="AL94" s="5">
        <v>331022</v>
      </c>
      <c r="AM94" s="5">
        <v>331022</v>
      </c>
      <c r="AN94" s="5">
        <v>331022</v>
      </c>
      <c r="AO94" s="5">
        <v>331022</v>
      </c>
      <c r="AP94" s="5">
        <v>331022</v>
      </c>
      <c r="AQ94" s="5">
        <v>331022</v>
      </c>
    </row>
    <row r="95" spans="1:43" x14ac:dyDescent="0.2">
      <c r="A95" s="4">
        <v>1993.1</v>
      </c>
      <c r="U95" s="54">
        <v>239315.60308500286</v>
      </c>
      <c r="V95" s="5">
        <v>238555</v>
      </c>
      <c r="W95" s="5">
        <v>238636</v>
      </c>
      <c r="X95" s="5">
        <v>237684</v>
      </c>
      <c r="Y95" s="5">
        <v>238101</v>
      </c>
      <c r="Z95" s="5">
        <v>238009</v>
      </c>
      <c r="AA95" s="5">
        <v>238065</v>
      </c>
      <c r="AB95" s="5">
        <v>237460</v>
      </c>
      <c r="AC95" s="5">
        <v>237533</v>
      </c>
      <c r="AD95" s="5">
        <v>237289</v>
      </c>
      <c r="AE95" s="5">
        <v>237374</v>
      </c>
      <c r="AF95" s="5">
        <v>329308</v>
      </c>
      <c r="AG95" s="5">
        <v>329405</v>
      </c>
      <c r="AH95" s="5">
        <v>328787</v>
      </c>
      <c r="AI95" s="5">
        <v>328787</v>
      </c>
      <c r="AJ95" s="5">
        <v>328965</v>
      </c>
      <c r="AK95" s="5">
        <v>328964</v>
      </c>
      <c r="AL95" s="5">
        <v>328964</v>
      </c>
      <c r="AM95" s="5">
        <v>328964</v>
      </c>
      <c r="AN95" s="5">
        <v>328964</v>
      </c>
      <c r="AO95" s="5">
        <v>328964</v>
      </c>
      <c r="AP95" s="5">
        <v>328964</v>
      </c>
      <c r="AQ95" s="5">
        <v>328964</v>
      </c>
    </row>
    <row r="96" spans="1:43" x14ac:dyDescent="0.2">
      <c r="A96" s="4">
        <v>1993.2</v>
      </c>
      <c r="V96" s="5">
        <v>240372</v>
      </c>
      <c r="W96" s="5">
        <v>240322</v>
      </c>
      <c r="X96" s="5">
        <v>238633</v>
      </c>
      <c r="Y96" s="5">
        <v>238712</v>
      </c>
      <c r="Z96" s="5">
        <v>238586</v>
      </c>
      <c r="AA96" s="5">
        <v>238613</v>
      </c>
      <c r="AB96" s="5">
        <v>237467</v>
      </c>
      <c r="AC96" s="5">
        <v>237474</v>
      </c>
      <c r="AD96" s="5">
        <v>237691</v>
      </c>
      <c r="AE96" s="5">
        <v>237688</v>
      </c>
      <c r="AF96" s="5">
        <v>330186</v>
      </c>
      <c r="AG96" s="5">
        <v>329896</v>
      </c>
      <c r="AH96" s="5">
        <v>329384</v>
      </c>
      <c r="AI96" s="5">
        <v>329384</v>
      </c>
      <c r="AJ96" s="5">
        <v>329223</v>
      </c>
      <c r="AK96" s="5">
        <v>329224</v>
      </c>
      <c r="AL96" s="5">
        <v>329224</v>
      </c>
      <c r="AM96" s="5">
        <v>329224</v>
      </c>
      <c r="AN96" s="5">
        <v>329175</v>
      </c>
      <c r="AO96" s="5">
        <v>329175</v>
      </c>
      <c r="AP96" s="5">
        <v>329175</v>
      </c>
      <c r="AQ96" s="5">
        <v>329175</v>
      </c>
    </row>
    <row r="97" spans="1:43" x14ac:dyDescent="0.2">
      <c r="A97" s="4">
        <v>1993.3</v>
      </c>
      <c r="W97" s="5">
        <v>239180</v>
      </c>
      <c r="X97" s="5">
        <v>237614</v>
      </c>
      <c r="Y97" s="5">
        <v>237193</v>
      </c>
      <c r="Z97" s="5">
        <v>237199</v>
      </c>
      <c r="AA97" s="5">
        <v>236972</v>
      </c>
      <c r="AB97" s="5">
        <v>235394</v>
      </c>
      <c r="AC97" s="5">
        <v>235378</v>
      </c>
      <c r="AD97" s="5">
        <v>235410</v>
      </c>
      <c r="AE97" s="5">
        <v>235329</v>
      </c>
      <c r="AF97" s="5">
        <v>327354</v>
      </c>
      <c r="AG97" s="5">
        <v>327479</v>
      </c>
      <c r="AH97" s="5">
        <v>328405</v>
      </c>
      <c r="AI97" s="5">
        <v>328405</v>
      </c>
      <c r="AJ97" s="5">
        <v>328291</v>
      </c>
      <c r="AK97" s="5">
        <v>328291</v>
      </c>
      <c r="AL97" s="5">
        <v>328291</v>
      </c>
      <c r="AM97" s="5">
        <v>328291</v>
      </c>
      <c r="AN97" s="5">
        <v>328316</v>
      </c>
      <c r="AO97" s="5">
        <v>328316</v>
      </c>
      <c r="AP97" s="5">
        <v>328316</v>
      </c>
      <c r="AQ97" s="5">
        <v>328316</v>
      </c>
    </row>
    <row r="98" spans="1:43" x14ac:dyDescent="0.2">
      <c r="A98" s="4">
        <v>1993.4</v>
      </c>
      <c r="X98" s="5">
        <v>239514</v>
      </c>
      <c r="Y98" s="5">
        <v>239440</v>
      </c>
      <c r="Z98" s="5">
        <v>239652</v>
      </c>
      <c r="AA98" s="5">
        <v>239796</v>
      </c>
      <c r="AB98" s="5">
        <v>238023</v>
      </c>
      <c r="AC98" s="5">
        <v>237959</v>
      </c>
      <c r="AD98" s="5">
        <v>237954</v>
      </c>
      <c r="AE98" s="5">
        <v>237954</v>
      </c>
      <c r="AF98" s="5">
        <v>330820</v>
      </c>
      <c r="AG98" s="5">
        <v>330889</v>
      </c>
      <c r="AH98" s="5">
        <v>331093</v>
      </c>
      <c r="AI98" s="5">
        <v>331093</v>
      </c>
      <c r="AJ98" s="5">
        <v>331189</v>
      </c>
      <c r="AK98" s="5">
        <v>331190</v>
      </c>
      <c r="AL98" s="5">
        <v>331190</v>
      </c>
      <c r="AM98" s="5">
        <v>331190</v>
      </c>
      <c r="AN98" s="5">
        <v>331214</v>
      </c>
      <c r="AO98" s="5">
        <v>331214</v>
      </c>
      <c r="AP98" s="5">
        <v>331214</v>
      </c>
      <c r="AQ98" s="5">
        <v>331214</v>
      </c>
    </row>
    <row r="99" spans="1:43" x14ac:dyDescent="0.2">
      <c r="A99" s="4">
        <v>1994.1</v>
      </c>
      <c r="Y99" s="5">
        <v>239607</v>
      </c>
      <c r="Z99" s="5">
        <v>240636</v>
      </c>
      <c r="AA99" s="5">
        <v>240490</v>
      </c>
      <c r="AB99" s="5">
        <v>238876</v>
      </c>
      <c r="AC99" s="5">
        <v>238896</v>
      </c>
      <c r="AD99" s="5">
        <v>238692</v>
      </c>
      <c r="AE99" s="5">
        <v>238458</v>
      </c>
      <c r="AF99" s="5">
        <v>331705</v>
      </c>
      <c r="AG99" s="5">
        <v>331845</v>
      </c>
      <c r="AH99" s="5">
        <v>331554</v>
      </c>
      <c r="AI99" s="5">
        <v>331638</v>
      </c>
      <c r="AJ99" s="5">
        <v>331987</v>
      </c>
      <c r="AK99" s="5">
        <v>331985</v>
      </c>
      <c r="AL99" s="5">
        <v>331985</v>
      </c>
      <c r="AM99" s="5">
        <v>331985</v>
      </c>
      <c r="AN99" s="5">
        <v>332560</v>
      </c>
      <c r="AO99" s="5">
        <v>332560</v>
      </c>
      <c r="AP99" s="5">
        <v>332560</v>
      </c>
      <c r="AQ99" s="5">
        <v>332560</v>
      </c>
    </row>
    <row r="100" spans="1:43" x14ac:dyDescent="0.2">
      <c r="A100" s="4">
        <v>1994.2</v>
      </c>
      <c r="Z100" s="5">
        <v>244010</v>
      </c>
      <c r="AA100" s="5">
        <v>243219</v>
      </c>
      <c r="AB100" s="5">
        <v>241231</v>
      </c>
      <c r="AC100" s="5">
        <v>240969</v>
      </c>
      <c r="AD100" s="5">
        <v>240700</v>
      </c>
      <c r="AE100" s="5">
        <v>240920</v>
      </c>
      <c r="AF100" s="5">
        <v>334946</v>
      </c>
      <c r="AG100" s="5">
        <v>334884</v>
      </c>
      <c r="AH100" s="5">
        <v>335967</v>
      </c>
      <c r="AI100" s="5">
        <v>335816</v>
      </c>
      <c r="AJ100" s="5">
        <v>335867</v>
      </c>
      <c r="AK100" s="5">
        <v>335868</v>
      </c>
      <c r="AL100" s="5">
        <v>335868</v>
      </c>
      <c r="AM100" s="5">
        <v>335868</v>
      </c>
      <c r="AN100" s="5">
        <v>336135</v>
      </c>
      <c r="AO100" s="5">
        <v>336135</v>
      </c>
      <c r="AP100" s="5">
        <v>336135</v>
      </c>
      <c r="AQ100" s="5">
        <v>336135</v>
      </c>
    </row>
    <row r="101" spans="1:43" x14ac:dyDescent="0.2">
      <c r="A101" s="4">
        <v>1994.3</v>
      </c>
      <c r="AA101" s="5">
        <v>245625</v>
      </c>
      <c r="AB101" s="5">
        <v>244410</v>
      </c>
      <c r="AC101" s="5">
        <v>244332</v>
      </c>
      <c r="AD101" s="5">
        <v>244324</v>
      </c>
      <c r="AE101" s="5">
        <v>244763</v>
      </c>
      <c r="AF101" s="5">
        <v>339547</v>
      </c>
      <c r="AG101" s="5">
        <v>339511</v>
      </c>
      <c r="AH101" s="5">
        <v>338604</v>
      </c>
      <c r="AI101" s="5">
        <v>338502</v>
      </c>
      <c r="AJ101" s="5">
        <v>338407</v>
      </c>
      <c r="AK101" s="5">
        <v>338407</v>
      </c>
      <c r="AL101" s="5">
        <v>338407</v>
      </c>
      <c r="AM101" s="5">
        <v>338407</v>
      </c>
      <c r="AN101" s="5">
        <v>338041</v>
      </c>
      <c r="AO101" s="5">
        <v>338041</v>
      </c>
      <c r="AP101" s="5">
        <v>338041</v>
      </c>
      <c r="AQ101" s="5">
        <v>338041</v>
      </c>
    </row>
    <row r="102" spans="1:43" x14ac:dyDescent="0.2">
      <c r="A102" s="4">
        <v>1994.4</v>
      </c>
      <c r="AB102" s="5">
        <v>244468</v>
      </c>
      <c r="AC102" s="5">
        <v>244788</v>
      </c>
      <c r="AD102" s="5">
        <v>245270</v>
      </c>
      <c r="AE102" s="5">
        <v>244844</v>
      </c>
      <c r="AF102" s="5">
        <v>339476</v>
      </c>
      <c r="AG102" s="5">
        <v>339434</v>
      </c>
      <c r="AH102" s="5">
        <v>339548</v>
      </c>
      <c r="AI102" s="5">
        <v>339718</v>
      </c>
      <c r="AJ102" s="5">
        <v>340007</v>
      </c>
      <c r="AK102" s="5">
        <v>340007</v>
      </c>
      <c r="AL102" s="5">
        <v>340007</v>
      </c>
      <c r="AM102" s="5">
        <v>340007</v>
      </c>
      <c r="AN102" s="5">
        <v>339530</v>
      </c>
      <c r="AO102" s="5">
        <v>339530</v>
      </c>
      <c r="AP102" s="5">
        <v>339530</v>
      </c>
      <c r="AQ102" s="5">
        <v>339530</v>
      </c>
    </row>
    <row r="103" spans="1:43" x14ac:dyDescent="0.2">
      <c r="A103" s="4">
        <v>1995.1</v>
      </c>
      <c r="AC103" s="5">
        <v>248374</v>
      </c>
      <c r="AD103" s="5">
        <v>248572</v>
      </c>
      <c r="AE103" s="5">
        <v>248575</v>
      </c>
      <c r="AF103" s="5">
        <v>344155</v>
      </c>
      <c r="AG103" s="5">
        <v>343643</v>
      </c>
      <c r="AH103" s="5">
        <v>344743</v>
      </c>
      <c r="AI103" s="5">
        <v>344983</v>
      </c>
      <c r="AJ103" s="5">
        <v>344783</v>
      </c>
      <c r="AK103" s="5">
        <v>345110</v>
      </c>
      <c r="AL103" s="5">
        <v>345479</v>
      </c>
      <c r="AM103" s="5">
        <v>345503</v>
      </c>
      <c r="AN103" s="5">
        <v>345321</v>
      </c>
      <c r="AO103" s="5">
        <v>345321</v>
      </c>
      <c r="AP103" s="5">
        <v>345321</v>
      </c>
      <c r="AQ103" s="5">
        <v>345321</v>
      </c>
    </row>
    <row r="104" spans="1:43" x14ac:dyDescent="0.2">
      <c r="A104" s="4">
        <v>1995.2</v>
      </c>
      <c r="AD104" s="5">
        <v>247615</v>
      </c>
      <c r="AE104" s="5">
        <v>248352</v>
      </c>
      <c r="AF104" s="5">
        <v>343994</v>
      </c>
      <c r="AG104" s="5">
        <v>343862</v>
      </c>
      <c r="AH104" s="5">
        <v>345467</v>
      </c>
      <c r="AI104" s="5">
        <v>345443</v>
      </c>
      <c r="AJ104" s="5">
        <v>345221</v>
      </c>
      <c r="AK104" s="5">
        <v>345662</v>
      </c>
      <c r="AL104" s="5">
        <v>345250</v>
      </c>
      <c r="AM104" s="5">
        <v>345402</v>
      </c>
      <c r="AN104" s="5">
        <v>344992</v>
      </c>
      <c r="AO104" s="5">
        <v>344992</v>
      </c>
      <c r="AP104" s="5">
        <v>344992</v>
      </c>
      <c r="AQ104" s="5">
        <v>344992</v>
      </c>
    </row>
    <row r="105" spans="1:43" x14ac:dyDescent="0.2">
      <c r="A105" s="4">
        <v>1995.3</v>
      </c>
      <c r="AE105" s="5">
        <v>253196</v>
      </c>
      <c r="AF105" s="5">
        <v>350339</v>
      </c>
      <c r="AG105" s="5">
        <v>350917</v>
      </c>
      <c r="AH105" s="5">
        <v>347560</v>
      </c>
      <c r="AI105" s="5">
        <v>347508</v>
      </c>
      <c r="AJ105" s="5">
        <v>347410</v>
      </c>
      <c r="AK105" s="5">
        <v>347354</v>
      </c>
      <c r="AL105" s="5">
        <v>347167</v>
      </c>
      <c r="AM105" s="5">
        <v>346816</v>
      </c>
      <c r="AN105" s="5">
        <v>347118</v>
      </c>
      <c r="AO105" s="5">
        <v>347118</v>
      </c>
      <c r="AP105" s="5">
        <v>347118</v>
      </c>
      <c r="AQ105" s="5">
        <v>347118</v>
      </c>
    </row>
    <row r="106" spans="1:43" x14ac:dyDescent="0.2">
      <c r="A106" s="4">
        <v>1995.4</v>
      </c>
      <c r="AF106" s="5">
        <v>347130</v>
      </c>
      <c r="AG106" s="5">
        <v>347197</v>
      </c>
      <c r="AH106" s="5">
        <v>347848</v>
      </c>
      <c r="AI106" s="5">
        <v>347683</v>
      </c>
      <c r="AJ106" s="5">
        <v>348416</v>
      </c>
      <c r="AK106" s="5">
        <v>347703</v>
      </c>
      <c r="AL106" s="5">
        <v>347934</v>
      </c>
      <c r="AM106" s="5">
        <v>348110</v>
      </c>
      <c r="AN106" s="5">
        <v>348430</v>
      </c>
      <c r="AO106" s="5">
        <v>348430</v>
      </c>
      <c r="AP106" s="5">
        <v>348430</v>
      </c>
      <c r="AQ106" s="5">
        <v>348430</v>
      </c>
    </row>
    <row r="107" spans="1:43" x14ac:dyDescent="0.2">
      <c r="A107" s="4">
        <v>1996.1</v>
      </c>
      <c r="AG107" s="5">
        <v>348947</v>
      </c>
      <c r="AH107" s="5">
        <v>349312</v>
      </c>
      <c r="AI107" s="5">
        <v>349256</v>
      </c>
      <c r="AJ107" s="5">
        <v>349100</v>
      </c>
      <c r="AK107" s="5">
        <v>349169</v>
      </c>
      <c r="AL107" s="5">
        <v>350031</v>
      </c>
      <c r="AM107" s="5">
        <v>350338</v>
      </c>
      <c r="AN107" s="5">
        <v>350855</v>
      </c>
      <c r="AO107" s="5">
        <v>350976</v>
      </c>
      <c r="AP107" s="5">
        <v>351104</v>
      </c>
      <c r="AQ107" s="5">
        <v>351184</v>
      </c>
    </row>
    <row r="108" spans="1:43" x14ac:dyDescent="0.2">
      <c r="A108" s="4">
        <v>1996.2</v>
      </c>
      <c r="AH108" s="5">
        <v>347888</v>
      </c>
      <c r="AI108" s="5">
        <v>347882</v>
      </c>
      <c r="AJ108" s="5">
        <v>347781</v>
      </c>
      <c r="AK108" s="5">
        <v>347614</v>
      </c>
      <c r="AL108" s="5">
        <v>346966</v>
      </c>
      <c r="AM108" s="5">
        <v>347223</v>
      </c>
      <c r="AN108" s="5">
        <v>347625</v>
      </c>
      <c r="AO108" s="5">
        <v>347379</v>
      </c>
      <c r="AP108" s="5">
        <v>347449</v>
      </c>
      <c r="AQ108" s="5">
        <v>347541</v>
      </c>
    </row>
    <row r="109" spans="1:43" x14ac:dyDescent="0.2">
      <c r="A109" s="4">
        <v>1996.3</v>
      </c>
      <c r="AI109" s="5">
        <v>349918</v>
      </c>
      <c r="AJ109" s="5">
        <v>349659</v>
      </c>
      <c r="AK109" s="5">
        <v>350149</v>
      </c>
      <c r="AL109" s="5">
        <v>349496</v>
      </c>
      <c r="AM109" s="5">
        <v>348953</v>
      </c>
      <c r="AN109" s="5">
        <v>348904</v>
      </c>
      <c r="AO109" s="5">
        <v>348865</v>
      </c>
      <c r="AP109" s="5">
        <v>348855</v>
      </c>
      <c r="AQ109" s="5">
        <v>348670</v>
      </c>
    </row>
    <row r="110" spans="1:43" x14ac:dyDescent="0.2">
      <c r="A110" s="4">
        <v>1996.4</v>
      </c>
      <c r="AJ110" s="5">
        <v>348868</v>
      </c>
      <c r="AK110" s="5">
        <v>348475</v>
      </c>
      <c r="AL110" s="5">
        <v>348916</v>
      </c>
      <c r="AM110" s="5">
        <v>348894</v>
      </c>
      <c r="AN110" s="5">
        <v>347634</v>
      </c>
      <c r="AO110" s="5">
        <v>347798</v>
      </c>
      <c r="AP110" s="5">
        <v>347609</v>
      </c>
      <c r="AQ110" s="5">
        <v>347623</v>
      </c>
    </row>
    <row r="111" spans="1:43" x14ac:dyDescent="0.2">
      <c r="A111" s="4">
        <v>1997.1</v>
      </c>
      <c r="AK111" s="5">
        <v>347865</v>
      </c>
      <c r="AL111" s="5">
        <v>347950</v>
      </c>
      <c r="AM111" s="5">
        <v>348157</v>
      </c>
      <c r="AN111" s="5">
        <v>347759</v>
      </c>
      <c r="AO111" s="5">
        <v>347988</v>
      </c>
      <c r="AP111" s="5">
        <v>348137</v>
      </c>
      <c r="AQ111" s="5">
        <v>348101</v>
      </c>
    </row>
    <row r="112" spans="1:43" x14ac:dyDescent="0.2">
      <c r="A112" s="4">
        <v>1997.2</v>
      </c>
      <c r="AL112" s="5">
        <v>353596</v>
      </c>
      <c r="AM112" s="5">
        <v>354629</v>
      </c>
      <c r="AN112" s="5">
        <v>354367</v>
      </c>
      <c r="AO112" s="5">
        <v>354709</v>
      </c>
      <c r="AP112" s="5">
        <v>354330</v>
      </c>
      <c r="AQ112" s="5">
        <v>354418</v>
      </c>
    </row>
    <row r="113" spans="1:43" x14ac:dyDescent="0.2">
      <c r="A113" s="4">
        <v>1997.3</v>
      </c>
      <c r="AM113" s="5">
        <v>356179</v>
      </c>
      <c r="AN113" s="5">
        <v>356652</v>
      </c>
      <c r="AO113" s="5">
        <v>356387</v>
      </c>
      <c r="AP113" s="5">
        <v>356273</v>
      </c>
      <c r="AQ113" s="5">
        <v>356312</v>
      </c>
    </row>
    <row r="114" spans="1:43" x14ac:dyDescent="0.2">
      <c r="A114" s="4">
        <v>1997.4</v>
      </c>
      <c r="AN114" s="5">
        <v>357277</v>
      </c>
      <c r="AO114" s="5">
        <v>356971</v>
      </c>
      <c r="AP114" s="5">
        <v>357315</v>
      </c>
      <c r="AQ114" s="5">
        <v>357224</v>
      </c>
    </row>
    <row r="115" spans="1:43" x14ac:dyDescent="0.2">
      <c r="A115" s="4">
        <v>1998.1</v>
      </c>
      <c r="AO115" s="5">
        <v>356570</v>
      </c>
      <c r="AP115" s="5">
        <v>356842</v>
      </c>
      <c r="AQ115" s="5">
        <v>356673</v>
      </c>
    </row>
    <row r="116" spans="1:43" x14ac:dyDescent="0.2">
      <c r="A116" s="4">
        <v>1998.2</v>
      </c>
      <c r="AP116" s="5">
        <v>358392</v>
      </c>
      <c r="AQ116" s="5">
        <v>358695</v>
      </c>
    </row>
    <row r="117" spans="1:43" x14ac:dyDescent="0.2">
      <c r="A117" s="4">
        <v>1998.3</v>
      </c>
      <c r="AQ117" s="5">
        <v>360499</v>
      </c>
    </row>
    <row r="118" spans="1:43" x14ac:dyDescent="0.2">
      <c r="A118" s="4"/>
    </row>
    <row r="119" spans="1:43" x14ac:dyDescent="0.2">
      <c r="A119" s="4"/>
    </row>
    <row r="120" spans="1:43" x14ac:dyDescent="0.2">
      <c r="A120" s="4"/>
    </row>
    <row r="121" spans="1:43" x14ac:dyDescent="0.2">
      <c r="A121" s="4"/>
    </row>
    <row r="122" spans="1:43" x14ac:dyDescent="0.2">
      <c r="A122" s="4"/>
    </row>
    <row r="123" spans="1:43" x14ac:dyDescent="0.2">
      <c r="A123" s="4"/>
    </row>
    <row r="124" spans="1:43" x14ac:dyDescent="0.2">
      <c r="A124" s="4"/>
    </row>
    <row r="125" spans="1:43" x14ac:dyDescent="0.2">
      <c r="A125" s="4"/>
    </row>
    <row r="126" spans="1:43" x14ac:dyDescent="0.2">
      <c r="A126" s="4"/>
    </row>
    <row r="127" spans="1:43" x14ac:dyDescent="0.2">
      <c r="A127" s="4"/>
    </row>
    <row r="128" spans="1:43" x14ac:dyDescent="0.2">
      <c r="A128" s="4"/>
    </row>
    <row r="129" spans="1:1" x14ac:dyDescent="0.2">
      <c r="A129" s="4"/>
    </row>
    <row r="130" spans="1:1" x14ac:dyDescent="0.2">
      <c r="A130" s="4"/>
    </row>
    <row r="131" spans="1:1" x14ac:dyDescent="0.2">
      <c r="A131" s="4"/>
    </row>
    <row r="132" spans="1:1" x14ac:dyDescent="0.2">
      <c r="A132" s="4"/>
    </row>
    <row r="133" spans="1:1" x14ac:dyDescent="0.2">
      <c r="A133" s="4"/>
    </row>
    <row r="134" spans="1:1" x14ac:dyDescent="0.2">
      <c r="A134" s="4"/>
    </row>
  </sheetData>
  <phoneticPr fontId="6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"/>
  <sheetViews>
    <sheetView workbookViewId="0">
      <pane xSplit="2" ySplit="2" topLeftCell="U132" activePane="bottomRight" state="frozen"/>
      <selection pane="topRight" activeCell="C1" sqref="C1"/>
      <selection pane="bottomLeft" activeCell="A3" sqref="A3"/>
      <selection pane="bottomRight" activeCell="AK145" sqref="AK145"/>
    </sheetView>
  </sheetViews>
  <sheetFormatPr defaultColWidth="8.77734375" defaultRowHeight="10.199999999999999" x14ac:dyDescent="0.2"/>
  <cols>
    <col min="1" max="1" width="5" style="3" bestFit="1" customWidth="1"/>
    <col min="2" max="2" width="4.21875" style="3" bestFit="1" customWidth="1"/>
    <col min="3" max="16384" width="8.77734375" style="2"/>
  </cols>
  <sheetData>
    <row r="1" spans="1:37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9" t="s">
        <v>9</v>
      </c>
      <c r="K1" s="59" t="s">
        <v>10</v>
      </c>
      <c r="L1" s="59" t="s">
        <v>11</v>
      </c>
      <c r="M1" s="59" t="s">
        <v>12</v>
      </c>
      <c r="N1" s="59" t="s">
        <v>13</v>
      </c>
      <c r="O1" s="59" t="s">
        <v>14</v>
      </c>
      <c r="P1" s="59" t="s">
        <v>15</v>
      </c>
      <c r="Q1" s="59" t="s">
        <v>16</v>
      </c>
      <c r="R1" s="60" t="s">
        <v>17</v>
      </c>
      <c r="S1" s="60" t="s">
        <v>18</v>
      </c>
      <c r="T1" s="60" t="s">
        <v>19</v>
      </c>
      <c r="U1" s="60" t="s">
        <v>20</v>
      </c>
      <c r="V1" s="61" t="s">
        <v>21</v>
      </c>
      <c r="W1" s="61" t="s">
        <v>22</v>
      </c>
      <c r="X1" s="61" t="s">
        <v>23</v>
      </c>
      <c r="Y1" s="61" t="s">
        <v>24</v>
      </c>
      <c r="Z1" s="61" t="s">
        <v>25</v>
      </c>
      <c r="AA1" s="62" t="s">
        <v>79</v>
      </c>
      <c r="AB1" s="62" t="s">
        <v>80</v>
      </c>
      <c r="AC1" s="62" t="s">
        <v>81</v>
      </c>
      <c r="AD1" s="62" t="s">
        <v>82</v>
      </c>
      <c r="AE1" s="62" t="s">
        <v>83</v>
      </c>
      <c r="AF1" s="62" t="s">
        <v>84</v>
      </c>
      <c r="AG1" s="62" t="s">
        <v>85</v>
      </c>
      <c r="AH1" s="62" t="s">
        <v>86</v>
      </c>
      <c r="AI1" s="62" t="s">
        <v>89</v>
      </c>
      <c r="AJ1" s="62" t="s">
        <v>87</v>
      </c>
      <c r="AK1" s="62" t="s">
        <v>88</v>
      </c>
    </row>
    <row r="2" spans="1:37" s="3" customFormat="1" x14ac:dyDescent="0.2">
      <c r="C2" s="3" t="s">
        <v>334</v>
      </c>
      <c r="D2" s="3" t="s">
        <v>335</v>
      </c>
      <c r="E2" s="3" t="s">
        <v>336</v>
      </c>
      <c r="F2" s="3" t="s">
        <v>337</v>
      </c>
      <c r="G2" s="3" t="s">
        <v>338</v>
      </c>
      <c r="H2" s="3" t="s">
        <v>339</v>
      </c>
      <c r="I2" s="3" t="s">
        <v>340</v>
      </c>
      <c r="J2" s="59" t="s">
        <v>341</v>
      </c>
      <c r="K2" s="59" t="s">
        <v>342</v>
      </c>
      <c r="L2" s="59" t="s">
        <v>343</v>
      </c>
      <c r="M2" s="59" t="s">
        <v>344</v>
      </c>
      <c r="N2" s="59" t="s">
        <v>345</v>
      </c>
      <c r="O2" s="59" t="s">
        <v>346</v>
      </c>
      <c r="P2" s="59" t="s">
        <v>347</v>
      </c>
      <c r="Q2" s="59" t="s">
        <v>348</v>
      </c>
      <c r="R2" s="60" t="s">
        <v>349</v>
      </c>
      <c r="S2" s="60" t="s">
        <v>350</v>
      </c>
      <c r="T2" s="60" t="s">
        <v>351</v>
      </c>
      <c r="U2" s="60" t="s">
        <v>352</v>
      </c>
      <c r="V2" s="61" t="s">
        <v>353</v>
      </c>
      <c r="W2" s="61" t="s">
        <v>354</v>
      </c>
      <c r="X2" s="61" t="s">
        <v>355</v>
      </c>
      <c r="Y2" s="61" t="s">
        <v>356</v>
      </c>
      <c r="Z2" s="61" t="s">
        <v>357</v>
      </c>
      <c r="AA2" s="62" t="s">
        <v>358</v>
      </c>
      <c r="AB2" s="62" t="s">
        <v>359</v>
      </c>
      <c r="AC2" s="62" t="s">
        <v>360</v>
      </c>
      <c r="AD2" s="62" t="s">
        <v>361</v>
      </c>
      <c r="AE2" s="62" t="s">
        <v>362</v>
      </c>
      <c r="AF2" s="62" t="s">
        <v>363</v>
      </c>
      <c r="AG2" s="62" t="s">
        <v>364</v>
      </c>
      <c r="AH2" s="62" t="s">
        <v>365</v>
      </c>
      <c r="AI2" s="62" t="s">
        <v>366</v>
      </c>
      <c r="AJ2" s="62" t="s">
        <v>367</v>
      </c>
      <c r="AK2" s="62" t="s">
        <v>368</v>
      </c>
    </row>
    <row r="3" spans="1:37" x14ac:dyDescent="0.2">
      <c r="A3" s="3">
        <v>1970</v>
      </c>
      <c r="B3" s="3">
        <v>1</v>
      </c>
      <c r="C3" s="2">
        <v>181584</v>
      </c>
      <c r="D3" s="2">
        <v>181584</v>
      </c>
      <c r="E3" s="2">
        <v>181584</v>
      </c>
      <c r="F3" s="2">
        <v>181584</v>
      </c>
      <c r="G3" s="2">
        <v>181584</v>
      </c>
      <c r="H3" s="2">
        <v>181584</v>
      </c>
      <c r="I3" s="2">
        <v>181584</v>
      </c>
      <c r="J3" s="51">
        <f t="shared" ref="J3:J34" si="0">J4/I4*I3</f>
        <v>228444.11228224478</v>
      </c>
      <c r="K3" s="51">
        <f t="shared" ref="K3:K34" si="1">K4/J4*J3</f>
        <v>232310.80200697706</v>
      </c>
      <c r="L3" s="51">
        <f t="shared" ref="L3:L34" si="2">K3</f>
        <v>232310.80200697706</v>
      </c>
      <c r="M3" s="51">
        <f t="shared" ref="M3:M50" si="3">M4/L4*L3</f>
        <v>233921.13175375434</v>
      </c>
      <c r="N3" s="51">
        <f t="shared" ref="N3:Q22" si="4">$M3</f>
        <v>233921.13175375434</v>
      </c>
      <c r="O3" s="51">
        <f t="shared" si="4"/>
        <v>233921.13175375434</v>
      </c>
      <c r="P3" s="51">
        <f t="shared" si="4"/>
        <v>233921.13175375434</v>
      </c>
      <c r="Q3" s="51">
        <f t="shared" si="4"/>
        <v>233921.13175375434</v>
      </c>
      <c r="R3" s="2">
        <v>231511</v>
      </c>
      <c r="S3" s="2">
        <v>231511</v>
      </c>
      <c r="T3" s="2">
        <v>231511</v>
      </c>
      <c r="U3" s="2">
        <v>231511</v>
      </c>
      <c r="V3" s="2">
        <v>119565</v>
      </c>
      <c r="W3" s="2">
        <v>119565</v>
      </c>
      <c r="X3" s="2">
        <v>119565</v>
      </c>
      <c r="Y3" s="2">
        <v>119565</v>
      </c>
      <c r="Z3" s="2">
        <v>119565</v>
      </c>
      <c r="AA3" s="51">
        <f t="shared" ref="AA3:AA42" si="5">AA4/Z4*Z3</f>
        <v>118862.59238894515</v>
      </c>
      <c r="AB3" s="51">
        <f t="shared" ref="AB3:AG12" si="6">$AA3</f>
        <v>118862.59238894515</v>
      </c>
      <c r="AC3" s="51">
        <f t="shared" si="6"/>
        <v>118862.59238894515</v>
      </c>
      <c r="AD3" s="51">
        <f t="shared" si="6"/>
        <v>118862.59238894515</v>
      </c>
      <c r="AE3" s="51">
        <f t="shared" si="6"/>
        <v>118862.59238894515</v>
      </c>
      <c r="AF3" s="51">
        <f t="shared" si="6"/>
        <v>118862.59238894515</v>
      </c>
      <c r="AG3" s="51">
        <f t="shared" si="6"/>
        <v>118862.59238894515</v>
      </c>
      <c r="AH3" s="51">
        <f t="shared" ref="AH3:AI22" si="7">AG3</f>
        <v>118862.59238894515</v>
      </c>
      <c r="AI3" s="51">
        <f t="shared" si="7"/>
        <v>118862.59238894515</v>
      </c>
      <c r="AJ3" s="51">
        <f t="shared" ref="AJ3:AJ42" si="8">AH3</f>
        <v>118862.59238894515</v>
      </c>
      <c r="AK3" s="51">
        <f t="shared" ref="AK3:AK42" si="9">AH3</f>
        <v>118862.59238894515</v>
      </c>
    </row>
    <row r="4" spans="1:37" x14ac:dyDescent="0.2">
      <c r="A4" s="3">
        <v>1970</v>
      </c>
      <c r="B4" s="3">
        <v>2</v>
      </c>
      <c r="C4" s="2">
        <v>184060</v>
      </c>
      <c r="D4" s="2">
        <v>184060</v>
      </c>
      <c r="E4" s="2">
        <v>184060</v>
      </c>
      <c r="F4" s="2">
        <v>184060</v>
      </c>
      <c r="G4" s="2">
        <v>184060</v>
      </c>
      <c r="H4" s="2">
        <v>184060</v>
      </c>
      <c r="I4" s="2">
        <v>184060</v>
      </c>
      <c r="J4" s="51">
        <f t="shared" si="0"/>
        <v>231559.07627692953</v>
      </c>
      <c r="K4" s="51">
        <f t="shared" si="1"/>
        <v>235478.49049147608</v>
      </c>
      <c r="L4" s="51">
        <f t="shared" si="2"/>
        <v>235478.49049147608</v>
      </c>
      <c r="M4" s="51">
        <f t="shared" si="3"/>
        <v>237110.77799032966</v>
      </c>
      <c r="N4" s="51">
        <f t="shared" si="4"/>
        <v>237110.77799032966</v>
      </c>
      <c r="O4" s="51">
        <f t="shared" si="4"/>
        <v>237110.77799032966</v>
      </c>
      <c r="P4" s="51">
        <f t="shared" si="4"/>
        <v>237110.77799032966</v>
      </c>
      <c r="Q4" s="51">
        <f t="shared" si="4"/>
        <v>237110.77799032966</v>
      </c>
      <c r="R4" s="2">
        <v>233201</v>
      </c>
      <c r="S4" s="2">
        <v>233201</v>
      </c>
      <c r="T4" s="2">
        <v>233201</v>
      </c>
      <c r="U4" s="2">
        <v>233201</v>
      </c>
      <c r="V4" s="2">
        <v>120438</v>
      </c>
      <c r="W4" s="2">
        <v>120438</v>
      </c>
      <c r="X4" s="2">
        <v>120438</v>
      </c>
      <c r="Y4" s="2">
        <v>120438</v>
      </c>
      <c r="Z4" s="2">
        <v>120438</v>
      </c>
      <c r="AA4" s="51">
        <f t="shared" si="5"/>
        <v>119730.46378237591</v>
      </c>
      <c r="AB4" s="51">
        <f t="shared" si="6"/>
        <v>119730.46378237591</v>
      </c>
      <c r="AC4" s="51">
        <f t="shared" si="6"/>
        <v>119730.46378237591</v>
      </c>
      <c r="AD4" s="51">
        <f t="shared" si="6"/>
        <v>119730.46378237591</v>
      </c>
      <c r="AE4" s="51">
        <f t="shared" si="6"/>
        <v>119730.46378237591</v>
      </c>
      <c r="AF4" s="51">
        <f t="shared" si="6"/>
        <v>119730.46378237591</v>
      </c>
      <c r="AG4" s="51">
        <f t="shared" si="6"/>
        <v>119730.46378237591</v>
      </c>
      <c r="AH4" s="51">
        <f t="shared" si="7"/>
        <v>119730.46378237591</v>
      </c>
      <c r="AI4" s="51">
        <f t="shared" si="7"/>
        <v>119730.46378237591</v>
      </c>
      <c r="AJ4" s="51">
        <f t="shared" si="8"/>
        <v>119730.46378237591</v>
      </c>
      <c r="AK4" s="51">
        <f t="shared" si="9"/>
        <v>119730.46378237591</v>
      </c>
    </row>
    <row r="5" spans="1:37" x14ac:dyDescent="0.2">
      <c r="A5" s="3">
        <v>1970</v>
      </c>
      <c r="B5" s="3">
        <v>3</v>
      </c>
      <c r="C5" s="2">
        <v>186705</v>
      </c>
      <c r="D5" s="2">
        <v>186705</v>
      </c>
      <c r="E5" s="2">
        <v>186705</v>
      </c>
      <c r="F5" s="2">
        <v>186705</v>
      </c>
      <c r="G5" s="2">
        <v>186705</v>
      </c>
      <c r="H5" s="2">
        <v>186705</v>
      </c>
      <c r="I5" s="2">
        <v>186705</v>
      </c>
      <c r="J5" s="51">
        <f t="shared" si="0"/>
        <v>234886.65291907056</v>
      </c>
      <c r="K5" s="51">
        <f t="shared" si="1"/>
        <v>238862.39034668612</v>
      </c>
      <c r="L5" s="51">
        <f t="shared" si="2"/>
        <v>238862.39034668612</v>
      </c>
      <c r="M5" s="51">
        <f t="shared" si="3"/>
        <v>240518.13432948224</v>
      </c>
      <c r="N5" s="51">
        <f t="shared" si="4"/>
        <v>240518.13432948224</v>
      </c>
      <c r="O5" s="51">
        <f t="shared" si="4"/>
        <v>240518.13432948224</v>
      </c>
      <c r="P5" s="51">
        <f t="shared" si="4"/>
        <v>240518.13432948224</v>
      </c>
      <c r="Q5" s="51">
        <f t="shared" si="4"/>
        <v>240518.13432948224</v>
      </c>
      <c r="R5" s="2">
        <v>237880</v>
      </c>
      <c r="S5" s="2">
        <v>237880</v>
      </c>
      <c r="T5" s="2">
        <v>237880</v>
      </c>
      <c r="U5" s="2">
        <v>237880</v>
      </c>
      <c r="V5" s="2">
        <v>122855</v>
      </c>
      <c r="W5" s="2">
        <v>122855</v>
      </c>
      <c r="X5" s="2">
        <v>122855</v>
      </c>
      <c r="Y5" s="2">
        <v>122855</v>
      </c>
      <c r="Z5" s="2">
        <v>122855</v>
      </c>
      <c r="AA5" s="51">
        <f t="shared" si="5"/>
        <v>122133.26465055707</v>
      </c>
      <c r="AB5" s="51">
        <f t="shared" si="6"/>
        <v>122133.26465055707</v>
      </c>
      <c r="AC5" s="51">
        <f t="shared" si="6"/>
        <v>122133.26465055707</v>
      </c>
      <c r="AD5" s="51">
        <f t="shared" si="6"/>
        <v>122133.26465055707</v>
      </c>
      <c r="AE5" s="51">
        <f t="shared" si="6"/>
        <v>122133.26465055707</v>
      </c>
      <c r="AF5" s="51">
        <f t="shared" si="6"/>
        <v>122133.26465055707</v>
      </c>
      <c r="AG5" s="51">
        <f t="shared" si="6"/>
        <v>122133.26465055707</v>
      </c>
      <c r="AH5" s="51">
        <f t="shared" si="7"/>
        <v>122133.26465055707</v>
      </c>
      <c r="AI5" s="51">
        <f t="shared" si="7"/>
        <v>122133.26465055707</v>
      </c>
      <c r="AJ5" s="51">
        <f t="shared" si="8"/>
        <v>122133.26465055707</v>
      </c>
      <c r="AK5" s="51">
        <f t="shared" si="9"/>
        <v>122133.26465055707</v>
      </c>
    </row>
    <row r="6" spans="1:37" x14ac:dyDescent="0.2">
      <c r="A6" s="3">
        <v>1970</v>
      </c>
      <c r="B6" s="3">
        <v>4</v>
      </c>
      <c r="C6" s="2">
        <v>186066</v>
      </c>
      <c r="D6" s="2">
        <v>186066</v>
      </c>
      <c r="E6" s="2">
        <v>186066</v>
      </c>
      <c r="F6" s="2">
        <v>186066</v>
      </c>
      <c r="G6" s="2">
        <v>186066</v>
      </c>
      <c r="H6" s="2">
        <v>186066</v>
      </c>
      <c r="I6" s="2">
        <v>186066</v>
      </c>
      <c r="J6" s="51">
        <f t="shared" si="0"/>
        <v>234082.75066034539</v>
      </c>
      <c r="K6" s="51">
        <f t="shared" si="1"/>
        <v>238044.88108109855</v>
      </c>
      <c r="L6" s="51">
        <f t="shared" si="2"/>
        <v>238044.88108109855</v>
      </c>
      <c r="M6" s="51">
        <f t="shared" si="3"/>
        <v>239694.95826115771</v>
      </c>
      <c r="N6" s="51">
        <f t="shared" si="4"/>
        <v>239694.95826115771</v>
      </c>
      <c r="O6" s="51">
        <f t="shared" si="4"/>
        <v>239694.95826115771</v>
      </c>
      <c r="P6" s="51">
        <f t="shared" si="4"/>
        <v>239694.95826115771</v>
      </c>
      <c r="Q6" s="51">
        <f t="shared" si="4"/>
        <v>239694.95826115771</v>
      </c>
      <c r="R6" s="2">
        <v>238146</v>
      </c>
      <c r="S6" s="2">
        <v>238146</v>
      </c>
      <c r="T6" s="2">
        <v>238146</v>
      </c>
      <c r="U6" s="2">
        <v>238146</v>
      </c>
      <c r="V6" s="2">
        <v>122992</v>
      </c>
      <c r="W6" s="2">
        <v>122992</v>
      </c>
      <c r="X6" s="2">
        <v>122992</v>
      </c>
      <c r="Y6" s="2">
        <v>122992</v>
      </c>
      <c r="Z6" s="2">
        <v>122992</v>
      </c>
      <c r="AA6" s="51">
        <f t="shared" si="5"/>
        <v>122269.45981768196</v>
      </c>
      <c r="AB6" s="51">
        <f t="shared" si="6"/>
        <v>122269.45981768196</v>
      </c>
      <c r="AC6" s="51">
        <f t="shared" si="6"/>
        <v>122269.45981768196</v>
      </c>
      <c r="AD6" s="51">
        <f t="shared" si="6"/>
        <v>122269.45981768196</v>
      </c>
      <c r="AE6" s="51">
        <f t="shared" si="6"/>
        <v>122269.45981768196</v>
      </c>
      <c r="AF6" s="51">
        <f t="shared" si="6"/>
        <v>122269.45981768196</v>
      </c>
      <c r="AG6" s="51">
        <f t="shared" si="6"/>
        <v>122269.45981768196</v>
      </c>
      <c r="AH6" s="51">
        <f t="shared" si="7"/>
        <v>122269.45981768196</v>
      </c>
      <c r="AI6" s="51">
        <f t="shared" si="7"/>
        <v>122269.45981768196</v>
      </c>
      <c r="AJ6" s="51">
        <f t="shared" si="8"/>
        <v>122269.45981768196</v>
      </c>
      <c r="AK6" s="51">
        <f t="shared" si="9"/>
        <v>122269.45981768196</v>
      </c>
    </row>
    <row r="7" spans="1:37" x14ac:dyDescent="0.2">
      <c r="A7" s="3">
        <v>1971</v>
      </c>
      <c r="B7" s="3">
        <v>1</v>
      </c>
      <c r="C7" s="2">
        <v>186657</v>
      </c>
      <c r="D7" s="2">
        <v>186657</v>
      </c>
      <c r="E7" s="2">
        <v>186657</v>
      </c>
      <c r="F7" s="2">
        <v>186657</v>
      </c>
      <c r="G7" s="2">
        <v>186657</v>
      </c>
      <c r="H7" s="2">
        <v>186657</v>
      </c>
      <c r="I7" s="2">
        <v>186657</v>
      </c>
      <c r="J7" s="51">
        <f t="shared" si="0"/>
        <v>234826.26589494097</v>
      </c>
      <c r="K7" s="51">
        <f t="shared" si="1"/>
        <v>238800.9811999753</v>
      </c>
      <c r="L7" s="51">
        <f t="shared" si="2"/>
        <v>238800.9811999753</v>
      </c>
      <c r="M7" s="51">
        <f t="shared" si="3"/>
        <v>240456.29950744848</v>
      </c>
      <c r="N7" s="51">
        <f t="shared" si="4"/>
        <v>240456.29950744848</v>
      </c>
      <c r="O7" s="51">
        <f t="shared" si="4"/>
        <v>240456.29950744848</v>
      </c>
      <c r="P7" s="51">
        <f t="shared" si="4"/>
        <v>240456.29950744848</v>
      </c>
      <c r="Q7" s="51">
        <f t="shared" si="4"/>
        <v>240456.29950744848</v>
      </c>
      <c r="R7" s="2">
        <v>236900</v>
      </c>
      <c r="S7" s="2">
        <v>236900</v>
      </c>
      <c r="T7" s="2">
        <v>236900</v>
      </c>
      <c r="U7" s="2">
        <v>236900</v>
      </c>
      <c r="V7" s="2">
        <v>122349</v>
      </c>
      <c r="W7" s="2">
        <v>122349</v>
      </c>
      <c r="X7" s="2">
        <v>122349</v>
      </c>
      <c r="Y7" s="2">
        <v>122349</v>
      </c>
      <c r="Z7" s="2">
        <v>122349</v>
      </c>
      <c r="AA7" s="51">
        <f t="shared" si="5"/>
        <v>121630.2372449718</v>
      </c>
      <c r="AB7" s="51">
        <f t="shared" si="6"/>
        <v>121630.2372449718</v>
      </c>
      <c r="AC7" s="51">
        <f t="shared" si="6"/>
        <v>121630.2372449718</v>
      </c>
      <c r="AD7" s="51">
        <f t="shared" si="6"/>
        <v>121630.2372449718</v>
      </c>
      <c r="AE7" s="51">
        <f t="shared" si="6"/>
        <v>121630.2372449718</v>
      </c>
      <c r="AF7" s="51">
        <f t="shared" si="6"/>
        <v>121630.2372449718</v>
      </c>
      <c r="AG7" s="51">
        <f t="shared" si="6"/>
        <v>121630.2372449718</v>
      </c>
      <c r="AH7" s="51">
        <f t="shared" si="7"/>
        <v>121630.2372449718</v>
      </c>
      <c r="AI7" s="51">
        <f t="shared" si="7"/>
        <v>121630.2372449718</v>
      </c>
      <c r="AJ7" s="51">
        <f t="shared" si="8"/>
        <v>121630.2372449718</v>
      </c>
      <c r="AK7" s="51">
        <f t="shared" si="9"/>
        <v>121630.2372449718</v>
      </c>
    </row>
    <row r="8" spans="1:37" x14ac:dyDescent="0.2">
      <c r="A8" s="3">
        <v>1971</v>
      </c>
      <c r="B8" s="3">
        <v>2</v>
      </c>
      <c r="C8" s="2">
        <v>186728</v>
      </c>
      <c r="D8" s="2">
        <v>186728</v>
      </c>
      <c r="E8" s="2">
        <v>186728</v>
      </c>
      <c r="F8" s="2">
        <v>186728</v>
      </c>
      <c r="G8" s="2">
        <v>186728</v>
      </c>
      <c r="H8" s="2">
        <v>186728</v>
      </c>
      <c r="I8" s="2">
        <v>186728</v>
      </c>
      <c r="J8" s="51">
        <f t="shared" si="0"/>
        <v>234915.58836813265</v>
      </c>
      <c r="K8" s="51">
        <f t="shared" si="1"/>
        <v>238891.81556281837</v>
      </c>
      <c r="L8" s="51">
        <f t="shared" si="2"/>
        <v>238891.81556281837</v>
      </c>
      <c r="M8" s="51">
        <f t="shared" si="3"/>
        <v>240547.7635150401</v>
      </c>
      <c r="N8" s="51">
        <f t="shared" si="4"/>
        <v>240547.7635150401</v>
      </c>
      <c r="O8" s="51">
        <f t="shared" si="4"/>
        <v>240547.7635150401</v>
      </c>
      <c r="P8" s="51">
        <f t="shared" si="4"/>
        <v>240547.7635150401</v>
      </c>
      <c r="Q8" s="51">
        <f t="shared" si="4"/>
        <v>240547.7635150401</v>
      </c>
      <c r="R8" s="2">
        <v>237900</v>
      </c>
      <c r="S8" s="2">
        <v>237900</v>
      </c>
      <c r="T8" s="2">
        <v>237900</v>
      </c>
      <c r="U8" s="2">
        <v>237900</v>
      </c>
      <c r="V8" s="2">
        <v>122865</v>
      </c>
      <c r="W8" s="2">
        <v>122865</v>
      </c>
      <c r="X8" s="2">
        <v>122865</v>
      </c>
      <c r="Y8" s="2">
        <v>122865</v>
      </c>
      <c r="Z8" s="2">
        <v>122865</v>
      </c>
      <c r="AA8" s="51">
        <f t="shared" si="5"/>
        <v>122143.2059036319</v>
      </c>
      <c r="AB8" s="51">
        <f t="shared" si="6"/>
        <v>122143.2059036319</v>
      </c>
      <c r="AC8" s="51">
        <f t="shared" si="6"/>
        <v>122143.2059036319</v>
      </c>
      <c r="AD8" s="51">
        <f t="shared" si="6"/>
        <v>122143.2059036319</v>
      </c>
      <c r="AE8" s="51">
        <f t="shared" si="6"/>
        <v>122143.2059036319</v>
      </c>
      <c r="AF8" s="51">
        <f t="shared" si="6"/>
        <v>122143.2059036319</v>
      </c>
      <c r="AG8" s="51">
        <f t="shared" si="6"/>
        <v>122143.2059036319</v>
      </c>
      <c r="AH8" s="51">
        <f t="shared" si="7"/>
        <v>122143.2059036319</v>
      </c>
      <c r="AI8" s="51">
        <f t="shared" si="7"/>
        <v>122143.2059036319</v>
      </c>
      <c r="AJ8" s="51">
        <f t="shared" si="8"/>
        <v>122143.2059036319</v>
      </c>
      <c r="AK8" s="51">
        <f t="shared" si="9"/>
        <v>122143.2059036319</v>
      </c>
    </row>
    <row r="9" spans="1:37" x14ac:dyDescent="0.2">
      <c r="A9" s="3">
        <v>1971</v>
      </c>
      <c r="B9" s="3">
        <v>3</v>
      </c>
      <c r="C9" s="2">
        <v>188689</v>
      </c>
      <c r="D9" s="2">
        <v>188689</v>
      </c>
      <c r="E9" s="2">
        <v>188689</v>
      </c>
      <c r="F9" s="2">
        <v>188689</v>
      </c>
      <c r="G9" s="2">
        <v>188689</v>
      </c>
      <c r="H9" s="2">
        <v>188689</v>
      </c>
      <c r="I9" s="2">
        <v>188689</v>
      </c>
      <c r="J9" s="51">
        <f t="shared" si="0"/>
        <v>237382.64991642701</v>
      </c>
      <c r="K9" s="51">
        <f t="shared" si="1"/>
        <v>241400.63507739941</v>
      </c>
      <c r="L9" s="51">
        <f t="shared" si="2"/>
        <v>241400.63507739941</v>
      </c>
      <c r="M9" s="51">
        <f t="shared" si="3"/>
        <v>243073.97364021142</v>
      </c>
      <c r="N9" s="51">
        <f t="shared" si="4"/>
        <v>243073.97364021142</v>
      </c>
      <c r="O9" s="51">
        <f t="shared" si="4"/>
        <v>243073.97364021142</v>
      </c>
      <c r="P9" s="51">
        <f t="shared" si="4"/>
        <v>243073.97364021142</v>
      </c>
      <c r="Q9" s="51">
        <f t="shared" si="4"/>
        <v>243073.97364021142</v>
      </c>
      <c r="R9" s="2">
        <v>241384</v>
      </c>
      <c r="S9" s="2">
        <v>241384</v>
      </c>
      <c r="T9" s="2">
        <v>241384</v>
      </c>
      <c r="U9" s="2">
        <v>241384</v>
      </c>
      <c r="V9" s="2">
        <v>124665</v>
      </c>
      <c r="W9" s="2">
        <v>124665</v>
      </c>
      <c r="X9" s="2">
        <v>124665</v>
      </c>
      <c r="Y9" s="2">
        <v>124665</v>
      </c>
      <c r="Z9" s="2">
        <v>124665</v>
      </c>
      <c r="AA9" s="51">
        <f t="shared" si="5"/>
        <v>123932.63145709739</v>
      </c>
      <c r="AB9" s="51">
        <f t="shared" si="6"/>
        <v>123932.63145709739</v>
      </c>
      <c r="AC9" s="51">
        <f t="shared" si="6"/>
        <v>123932.63145709739</v>
      </c>
      <c r="AD9" s="51">
        <f t="shared" si="6"/>
        <v>123932.63145709739</v>
      </c>
      <c r="AE9" s="51">
        <f t="shared" si="6"/>
        <v>123932.63145709739</v>
      </c>
      <c r="AF9" s="51">
        <f t="shared" si="6"/>
        <v>123932.63145709739</v>
      </c>
      <c r="AG9" s="51">
        <f t="shared" si="6"/>
        <v>123932.63145709739</v>
      </c>
      <c r="AH9" s="51">
        <f t="shared" si="7"/>
        <v>123932.63145709739</v>
      </c>
      <c r="AI9" s="51">
        <f t="shared" si="7"/>
        <v>123932.63145709739</v>
      </c>
      <c r="AJ9" s="51">
        <f t="shared" si="8"/>
        <v>123932.63145709739</v>
      </c>
      <c r="AK9" s="51">
        <f t="shared" si="9"/>
        <v>123932.63145709739</v>
      </c>
    </row>
    <row r="10" spans="1:37" x14ac:dyDescent="0.2">
      <c r="A10" s="3">
        <v>1971</v>
      </c>
      <c r="B10" s="3">
        <v>4</v>
      </c>
      <c r="C10" s="2">
        <v>190328</v>
      </c>
      <c r="D10" s="2">
        <v>190328</v>
      </c>
      <c r="E10" s="2">
        <v>190328</v>
      </c>
      <c r="F10" s="2">
        <v>190328</v>
      </c>
      <c r="G10" s="2">
        <v>190328</v>
      </c>
      <c r="H10" s="2">
        <v>190328</v>
      </c>
      <c r="I10" s="2">
        <v>190328</v>
      </c>
      <c r="J10" s="51">
        <f t="shared" si="0"/>
        <v>239444.61517785204</v>
      </c>
      <c r="K10" s="51">
        <f t="shared" si="1"/>
        <v>243497.50156612881</v>
      </c>
      <c r="L10" s="51">
        <f t="shared" si="2"/>
        <v>243497.50156612881</v>
      </c>
      <c r="M10" s="51">
        <f t="shared" si="3"/>
        <v>245185.37516757293</v>
      </c>
      <c r="N10" s="51">
        <f t="shared" si="4"/>
        <v>245185.37516757293</v>
      </c>
      <c r="O10" s="51">
        <f t="shared" si="4"/>
        <v>245185.37516757293</v>
      </c>
      <c r="P10" s="51">
        <f t="shared" si="4"/>
        <v>245185.37516757293</v>
      </c>
      <c r="Q10" s="51">
        <f t="shared" si="4"/>
        <v>245185.37516757293</v>
      </c>
      <c r="R10" s="2">
        <v>242747</v>
      </c>
      <c r="S10" s="2">
        <v>242747</v>
      </c>
      <c r="T10" s="2">
        <v>242747</v>
      </c>
      <c r="U10" s="2">
        <v>242747</v>
      </c>
      <c r="V10" s="2">
        <v>125368</v>
      </c>
      <c r="W10" s="2">
        <v>125368</v>
      </c>
      <c r="X10" s="2">
        <v>125368</v>
      </c>
      <c r="Y10" s="2">
        <v>125368</v>
      </c>
      <c r="Z10" s="2">
        <v>125368</v>
      </c>
      <c r="AA10" s="51">
        <f t="shared" si="5"/>
        <v>124631.5015482564</v>
      </c>
      <c r="AB10" s="51">
        <f t="shared" si="6"/>
        <v>124631.5015482564</v>
      </c>
      <c r="AC10" s="51">
        <f t="shared" si="6"/>
        <v>124631.5015482564</v>
      </c>
      <c r="AD10" s="51">
        <f t="shared" si="6"/>
        <v>124631.5015482564</v>
      </c>
      <c r="AE10" s="51">
        <f t="shared" si="6"/>
        <v>124631.5015482564</v>
      </c>
      <c r="AF10" s="51">
        <f t="shared" si="6"/>
        <v>124631.5015482564</v>
      </c>
      <c r="AG10" s="51">
        <f t="shared" si="6"/>
        <v>124631.5015482564</v>
      </c>
      <c r="AH10" s="51">
        <f t="shared" si="7"/>
        <v>124631.5015482564</v>
      </c>
      <c r="AI10" s="51">
        <f t="shared" si="7"/>
        <v>124631.5015482564</v>
      </c>
      <c r="AJ10" s="51">
        <f t="shared" si="8"/>
        <v>124631.5015482564</v>
      </c>
      <c r="AK10" s="51">
        <f t="shared" si="9"/>
        <v>124631.5015482564</v>
      </c>
    </row>
    <row r="11" spans="1:37" x14ac:dyDescent="0.2">
      <c r="A11" s="3">
        <v>1972</v>
      </c>
      <c r="B11" s="3">
        <v>1</v>
      </c>
      <c r="C11" s="2">
        <v>192961</v>
      </c>
      <c r="D11" s="2">
        <v>192961</v>
      </c>
      <c r="E11" s="2">
        <v>192961</v>
      </c>
      <c r="F11" s="2">
        <v>192961</v>
      </c>
      <c r="G11" s="2">
        <v>192961</v>
      </c>
      <c r="H11" s="2">
        <v>192961</v>
      </c>
      <c r="I11" s="2">
        <v>192961</v>
      </c>
      <c r="J11" s="51">
        <f t="shared" si="0"/>
        <v>242757.09506396067</v>
      </c>
      <c r="K11" s="51">
        <f t="shared" si="1"/>
        <v>246866.04913466109</v>
      </c>
      <c r="L11" s="51">
        <f t="shared" si="2"/>
        <v>246866.04913466109</v>
      </c>
      <c r="M11" s="51">
        <f t="shared" si="3"/>
        <v>248577.27280121701</v>
      </c>
      <c r="N11" s="51">
        <f t="shared" si="4"/>
        <v>248577.27280121701</v>
      </c>
      <c r="O11" s="51">
        <f t="shared" si="4"/>
        <v>248577.27280121701</v>
      </c>
      <c r="P11" s="51">
        <f t="shared" si="4"/>
        <v>248577.27280121701</v>
      </c>
      <c r="Q11" s="51">
        <f t="shared" si="4"/>
        <v>248577.27280121701</v>
      </c>
      <c r="R11" s="2">
        <v>245429</v>
      </c>
      <c r="S11" s="2">
        <v>245429</v>
      </c>
      <c r="T11" s="2">
        <v>245429</v>
      </c>
      <c r="U11" s="2">
        <v>245429</v>
      </c>
      <c r="V11" s="2">
        <v>126754</v>
      </c>
      <c r="W11" s="2">
        <v>126754</v>
      </c>
      <c r="X11" s="2">
        <v>126754</v>
      </c>
      <c r="Y11" s="2">
        <v>126754</v>
      </c>
      <c r="Z11" s="2">
        <v>126754</v>
      </c>
      <c r="AA11" s="51">
        <f t="shared" si="5"/>
        <v>126009.35922442484</v>
      </c>
      <c r="AB11" s="51">
        <f t="shared" si="6"/>
        <v>126009.35922442484</v>
      </c>
      <c r="AC11" s="51">
        <f t="shared" si="6"/>
        <v>126009.35922442484</v>
      </c>
      <c r="AD11" s="51">
        <f t="shared" si="6"/>
        <v>126009.35922442484</v>
      </c>
      <c r="AE11" s="51">
        <f t="shared" si="6"/>
        <v>126009.35922442484</v>
      </c>
      <c r="AF11" s="51">
        <f t="shared" si="6"/>
        <v>126009.35922442484</v>
      </c>
      <c r="AG11" s="51">
        <f t="shared" si="6"/>
        <v>126009.35922442484</v>
      </c>
      <c r="AH11" s="51">
        <f t="shared" si="7"/>
        <v>126009.35922442484</v>
      </c>
      <c r="AI11" s="51">
        <f t="shared" si="7"/>
        <v>126009.35922442484</v>
      </c>
      <c r="AJ11" s="51">
        <f t="shared" si="8"/>
        <v>126009.35922442484</v>
      </c>
      <c r="AK11" s="51">
        <f t="shared" si="9"/>
        <v>126009.35922442484</v>
      </c>
    </row>
    <row r="12" spans="1:37" x14ac:dyDescent="0.2">
      <c r="A12" s="3">
        <v>1972</v>
      </c>
      <c r="B12" s="3">
        <v>2</v>
      </c>
      <c r="C12" s="2">
        <v>192295</v>
      </c>
      <c r="D12" s="2">
        <v>192295</v>
      </c>
      <c r="E12" s="2">
        <v>192295</v>
      </c>
      <c r="F12" s="2">
        <v>192295</v>
      </c>
      <c r="G12" s="2">
        <v>192295</v>
      </c>
      <c r="H12" s="2">
        <v>192295</v>
      </c>
      <c r="I12" s="2">
        <v>192295</v>
      </c>
      <c r="J12" s="51">
        <f t="shared" si="0"/>
        <v>241919.22510416259</v>
      </c>
      <c r="K12" s="51">
        <f t="shared" si="1"/>
        <v>246013.99722404868</v>
      </c>
      <c r="L12" s="51">
        <f t="shared" si="2"/>
        <v>246013.99722404868</v>
      </c>
      <c r="M12" s="51">
        <f t="shared" si="3"/>
        <v>247719.31464549847</v>
      </c>
      <c r="N12" s="51">
        <f t="shared" si="4"/>
        <v>247719.31464549847</v>
      </c>
      <c r="O12" s="51">
        <f t="shared" si="4"/>
        <v>247719.31464549847</v>
      </c>
      <c r="P12" s="51">
        <f t="shared" si="4"/>
        <v>247719.31464549847</v>
      </c>
      <c r="Q12" s="51">
        <f t="shared" si="4"/>
        <v>247719.31464549847</v>
      </c>
      <c r="R12" s="2">
        <v>245318</v>
      </c>
      <c r="S12" s="2">
        <v>245318</v>
      </c>
      <c r="T12" s="2">
        <v>245318</v>
      </c>
      <c r="U12" s="2">
        <v>245318</v>
      </c>
      <c r="V12" s="2">
        <v>126696</v>
      </c>
      <c r="W12" s="2">
        <v>126696</v>
      </c>
      <c r="X12" s="2">
        <v>126696</v>
      </c>
      <c r="Y12" s="2">
        <v>126696</v>
      </c>
      <c r="Z12" s="2">
        <v>126696</v>
      </c>
      <c r="AA12" s="51">
        <f t="shared" si="5"/>
        <v>125951.69995659095</v>
      </c>
      <c r="AB12" s="51">
        <f t="shared" si="6"/>
        <v>125951.69995659095</v>
      </c>
      <c r="AC12" s="51">
        <f t="shared" si="6"/>
        <v>125951.69995659095</v>
      </c>
      <c r="AD12" s="51">
        <f t="shared" si="6"/>
        <v>125951.69995659095</v>
      </c>
      <c r="AE12" s="51">
        <f t="shared" si="6"/>
        <v>125951.69995659095</v>
      </c>
      <c r="AF12" s="51">
        <f t="shared" si="6"/>
        <v>125951.69995659095</v>
      </c>
      <c r="AG12" s="51">
        <f t="shared" si="6"/>
        <v>125951.69995659095</v>
      </c>
      <c r="AH12" s="51">
        <f t="shared" si="7"/>
        <v>125951.69995659095</v>
      </c>
      <c r="AI12" s="51">
        <f t="shared" si="7"/>
        <v>125951.69995659095</v>
      </c>
      <c r="AJ12" s="51">
        <f t="shared" si="8"/>
        <v>125951.69995659095</v>
      </c>
      <c r="AK12" s="51">
        <f t="shared" si="9"/>
        <v>125951.69995659095</v>
      </c>
    </row>
    <row r="13" spans="1:37" x14ac:dyDescent="0.2">
      <c r="A13" s="3">
        <v>1972</v>
      </c>
      <c r="B13" s="3">
        <v>3</v>
      </c>
      <c r="C13" s="2">
        <v>193616</v>
      </c>
      <c r="D13" s="2">
        <v>193616</v>
      </c>
      <c r="E13" s="2">
        <v>193616</v>
      </c>
      <c r="F13" s="2">
        <v>193616</v>
      </c>
      <c r="G13" s="2">
        <v>193616</v>
      </c>
      <c r="H13" s="2">
        <v>193616</v>
      </c>
      <c r="I13" s="2">
        <v>193616</v>
      </c>
      <c r="J13" s="51">
        <f t="shared" si="0"/>
        <v>243581.12633072905</v>
      </c>
      <c r="K13" s="51">
        <f t="shared" si="1"/>
        <v>247704.02811581898</v>
      </c>
      <c r="L13" s="51">
        <f t="shared" si="2"/>
        <v>247704.02811581898</v>
      </c>
      <c r="M13" s="51">
        <f t="shared" si="3"/>
        <v>249421.0604768862</v>
      </c>
      <c r="N13" s="51">
        <f t="shared" si="4"/>
        <v>249421.0604768862</v>
      </c>
      <c r="O13" s="51">
        <f t="shared" si="4"/>
        <v>249421.0604768862</v>
      </c>
      <c r="P13" s="51">
        <f t="shared" si="4"/>
        <v>249421.0604768862</v>
      </c>
      <c r="Q13" s="51">
        <f t="shared" si="4"/>
        <v>249421.0604768862</v>
      </c>
      <c r="R13" s="2">
        <v>248625</v>
      </c>
      <c r="S13" s="2">
        <v>248625</v>
      </c>
      <c r="T13" s="2">
        <v>248625</v>
      </c>
      <c r="U13" s="2">
        <v>248625</v>
      </c>
      <c r="V13" s="2">
        <v>128404</v>
      </c>
      <c r="W13" s="2">
        <v>128404</v>
      </c>
      <c r="X13" s="2">
        <v>128404</v>
      </c>
      <c r="Y13" s="2">
        <v>128404</v>
      </c>
      <c r="Z13" s="2">
        <v>128404</v>
      </c>
      <c r="AA13" s="51">
        <f t="shared" si="5"/>
        <v>127649.66598176821</v>
      </c>
      <c r="AB13" s="51">
        <f t="shared" ref="AB13:AG22" si="10">$AA13</f>
        <v>127649.66598176821</v>
      </c>
      <c r="AC13" s="51">
        <f t="shared" si="10"/>
        <v>127649.66598176821</v>
      </c>
      <c r="AD13" s="51">
        <f t="shared" si="10"/>
        <v>127649.66598176821</v>
      </c>
      <c r="AE13" s="51">
        <f t="shared" si="10"/>
        <v>127649.66598176821</v>
      </c>
      <c r="AF13" s="51">
        <f t="shared" si="10"/>
        <v>127649.66598176821</v>
      </c>
      <c r="AG13" s="51">
        <f t="shared" si="10"/>
        <v>127649.66598176821</v>
      </c>
      <c r="AH13" s="51">
        <f t="shared" si="7"/>
        <v>127649.66598176821</v>
      </c>
      <c r="AI13" s="51">
        <f t="shared" si="7"/>
        <v>127649.66598176821</v>
      </c>
      <c r="AJ13" s="51">
        <f t="shared" si="8"/>
        <v>127649.66598176821</v>
      </c>
      <c r="AK13" s="51">
        <f t="shared" si="9"/>
        <v>127649.66598176821</v>
      </c>
    </row>
    <row r="14" spans="1:37" x14ac:dyDescent="0.2">
      <c r="A14" s="3">
        <v>1972</v>
      </c>
      <c r="B14" s="3">
        <v>4</v>
      </c>
      <c r="C14" s="2">
        <v>195546</v>
      </c>
      <c r="D14" s="2">
        <v>195546</v>
      </c>
      <c r="E14" s="2">
        <v>195546</v>
      </c>
      <c r="F14" s="2">
        <v>195546</v>
      </c>
      <c r="G14" s="2">
        <v>195546</v>
      </c>
      <c r="H14" s="2">
        <v>195546</v>
      </c>
      <c r="I14" s="2">
        <v>195546</v>
      </c>
      <c r="J14" s="51">
        <f t="shared" si="0"/>
        <v>246009.18792593971</v>
      </c>
      <c r="K14" s="51">
        <f t="shared" si="1"/>
        <v>250173.18755648259</v>
      </c>
      <c r="L14" s="51">
        <f t="shared" si="2"/>
        <v>250173.18755648259</v>
      </c>
      <c r="M14" s="51">
        <f t="shared" si="3"/>
        <v>251907.33561282739</v>
      </c>
      <c r="N14" s="51">
        <f t="shared" si="4"/>
        <v>251907.33561282739</v>
      </c>
      <c r="O14" s="51">
        <f t="shared" si="4"/>
        <v>251907.33561282739</v>
      </c>
      <c r="P14" s="51">
        <f t="shared" si="4"/>
        <v>251907.33561282739</v>
      </c>
      <c r="Q14" s="51">
        <f t="shared" si="4"/>
        <v>251907.33561282739</v>
      </c>
      <c r="R14" s="2">
        <v>249807</v>
      </c>
      <c r="S14" s="2">
        <v>249807</v>
      </c>
      <c r="T14" s="2">
        <v>249807</v>
      </c>
      <c r="U14" s="2">
        <v>249807</v>
      </c>
      <c r="V14" s="2">
        <v>129014</v>
      </c>
      <c r="W14" s="2">
        <v>129014</v>
      </c>
      <c r="X14" s="2">
        <v>129014</v>
      </c>
      <c r="Y14" s="2">
        <v>129014</v>
      </c>
      <c r="Z14" s="2">
        <v>129014</v>
      </c>
      <c r="AA14" s="51">
        <f t="shared" si="5"/>
        <v>128256.08241933151</v>
      </c>
      <c r="AB14" s="51">
        <f t="shared" si="10"/>
        <v>128256.08241933151</v>
      </c>
      <c r="AC14" s="51">
        <f t="shared" si="10"/>
        <v>128256.08241933151</v>
      </c>
      <c r="AD14" s="51">
        <f t="shared" si="10"/>
        <v>128256.08241933151</v>
      </c>
      <c r="AE14" s="51">
        <f t="shared" si="10"/>
        <v>128256.08241933151</v>
      </c>
      <c r="AF14" s="51">
        <f t="shared" si="10"/>
        <v>128256.08241933151</v>
      </c>
      <c r="AG14" s="51">
        <f t="shared" si="10"/>
        <v>128256.08241933151</v>
      </c>
      <c r="AH14" s="51">
        <f t="shared" si="7"/>
        <v>128256.08241933151</v>
      </c>
      <c r="AI14" s="51">
        <f t="shared" si="7"/>
        <v>128256.08241933151</v>
      </c>
      <c r="AJ14" s="51">
        <f t="shared" si="8"/>
        <v>128256.08241933151</v>
      </c>
      <c r="AK14" s="51">
        <f t="shared" si="9"/>
        <v>128256.08241933151</v>
      </c>
    </row>
    <row r="15" spans="1:37" x14ac:dyDescent="0.2">
      <c r="A15" s="3">
        <v>1973</v>
      </c>
      <c r="B15" s="3">
        <v>1</v>
      </c>
      <c r="C15" s="2">
        <v>198032</v>
      </c>
      <c r="D15" s="2">
        <v>198032</v>
      </c>
      <c r="E15" s="2">
        <v>198032</v>
      </c>
      <c r="F15" s="2">
        <v>198032</v>
      </c>
      <c r="G15" s="2">
        <v>198032</v>
      </c>
      <c r="H15" s="2">
        <v>198032</v>
      </c>
      <c r="I15" s="2">
        <v>198032</v>
      </c>
      <c r="J15" s="51">
        <f t="shared" si="0"/>
        <v>249136.73255065148</v>
      </c>
      <c r="K15" s="51">
        <f t="shared" si="1"/>
        <v>253353.66961321307</v>
      </c>
      <c r="L15" s="51">
        <f t="shared" si="2"/>
        <v>253353.66961321307</v>
      </c>
      <c r="M15" s="51">
        <f t="shared" si="3"/>
        <v>255109.86410399311</v>
      </c>
      <c r="N15" s="51">
        <f t="shared" si="4"/>
        <v>255109.86410399311</v>
      </c>
      <c r="O15" s="51">
        <f t="shared" si="4"/>
        <v>255109.86410399311</v>
      </c>
      <c r="P15" s="51">
        <f t="shared" si="4"/>
        <v>255109.86410399311</v>
      </c>
      <c r="Q15" s="51">
        <f t="shared" si="4"/>
        <v>255109.86410399311</v>
      </c>
      <c r="R15" s="2">
        <v>252059</v>
      </c>
      <c r="S15" s="2">
        <v>252059</v>
      </c>
      <c r="T15" s="2">
        <v>252059</v>
      </c>
      <c r="U15" s="2">
        <v>252059</v>
      </c>
      <c r="V15" s="2">
        <v>130178</v>
      </c>
      <c r="W15" s="2">
        <v>130178</v>
      </c>
      <c r="X15" s="2">
        <v>130178</v>
      </c>
      <c r="Y15" s="2">
        <v>130178</v>
      </c>
      <c r="Z15" s="2">
        <v>130178</v>
      </c>
      <c r="AA15" s="51">
        <f t="shared" si="5"/>
        <v>129413.2442772392</v>
      </c>
      <c r="AB15" s="51">
        <f t="shared" si="10"/>
        <v>129413.2442772392</v>
      </c>
      <c r="AC15" s="51">
        <f t="shared" si="10"/>
        <v>129413.2442772392</v>
      </c>
      <c r="AD15" s="51">
        <f t="shared" si="10"/>
        <v>129413.2442772392</v>
      </c>
      <c r="AE15" s="51">
        <f t="shared" si="10"/>
        <v>129413.2442772392</v>
      </c>
      <c r="AF15" s="51">
        <f t="shared" si="10"/>
        <v>129413.2442772392</v>
      </c>
      <c r="AG15" s="51">
        <f t="shared" si="10"/>
        <v>129413.2442772392</v>
      </c>
      <c r="AH15" s="51">
        <f t="shared" si="7"/>
        <v>129413.2442772392</v>
      </c>
      <c r="AI15" s="51">
        <f t="shared" si="7"/>
        <v>129413.2442772392</v>
      </c>
      <c r="AJ15" s="51">
        <f t="shared" si="8"/>
        <v>129413.2442772392</v>
      </c>
      <c r="AK15" s="51">
        <f t="shared" si="9"/>
        <v>129413.2442772392</v>
      </c>
    </row>
    <row r="16" spans="1:37" x14ac:dyDescent="0.2">
      <c r="A16" s="3">
        <v>1973</v>
      </c>
      <c r="B16" s="3">
        <v>2</v>
      </c>
      <c r="C16" s="2">
        <v>203278</v>
      </c>
      <c r="D16" s="2">
        <v>203278</v>
      </c>
      <c r="E16" s="2">
        <v>203278</v>
      </c>
      <c r="F16" s="2">
        <v>203278</v>
      </c>
      <c r="G16" s="2">
        <v>203278</v>
      </c>
      <c r="H16" s="2">
        <v>203278</v>
      </c>
      <c r="I16" s="2">
        <v>203278</v>
      </c>
      <c r="J16" s="51">
        <f t="shared" si="0"/>
        <v>255736.53106281476</v>
      </c>
      <c r="K16" s="51">
        <f t="shared" si="1"/>
        <v>260065.17760581485</v>
      </c>
      <c r="L16" s="51">
        <f t="shared" si="2"/>
        <v>260065.17760581485</v>
      </c>
      <c r="M16" s="51">
        <f t="shared" si="3"/>
        <v>261867.89486210063</v>
      </c>
      <c r="N16" s="51">
        <f t="shared" si="4"/>
        <v>261867.89486210063</v>
      </c>
      <c r="O16" s="51">
        <f t="shared" si="4"/>
        <v>261867.89486210063</v>
      </c>
      <c r="P16" s="51">
        <f t="shared" si="4"/>
        <v>261867.89486210063</v>
      </c>
      <c r="Q16" s="51">
        <f t="shared" si="4"/>
        <v>261867.89486210063</v>
      </c>
      <c r="R16" s="2">
        <v>259612</v>
      </c>
      <c r="S16" s="2">
        <v>259612</v>
      </c>
      <c r="T16" s="2">
        <v>259612</v>
      </c>
      <c r="U16" s="2">
        <v>259612</v>
      </c>
      <c r="V16" s="2">
        <v>134078</v>
      </c>
      <c r="W16" s="2">
        <v>134078</v>
      </c>
      <c r="X16" s="2">
        <v>134078</v>
      </c>
      <c r="Y16" s="2">
        <v>134078</v>
      </c>
      <c r="Z16" s="2">
        <v>134078</v>
      </c>
      <c r="AA16" s="51">
        <f t="shared" si="5"/>
        <v>133290.33297641441</v>
      </c>
      <c r="AB16" s="51">
        <f t="shared" si="10"/>
        <v>133290.33297641441</v>
      </c>
      <c r="AC16" s="51">
        <f t="shared" si="10"/>
        <v>133290.33297641441</v>
      </c>
      <c r="AD16" s="51">
        <f t="shared" si="10"/>
        <v>133290.33297641441</v>
      </c>
      <c r="AE16" s="51">
        <f t="shared" si="10"/>
        <v>133290.33297641441</v>
      </c>
      <c r="AF16" s="51">
        <f t="shared" si="10"/>
        <v>133290.33297641441</v>
      </c>
      <c r="AG16" s="51">
        <f t="shared" si="10"/>
        <v>133290.33297641441</v>
      </c>
      <c r="AH16" s="51">
        <f t="shared" si="7"/>
        <v>133290.33297641441</v>
      </c>
      <c r="AI16" s="51">
        <f t="shared" si="7"/>
        <v>133290.33297641441</v>
      </c>
      <c r="AJ16" s="51">
        <f t="shared" si="8"/>
        <v>133290.33297641441</v>
      </c>
      <c r="AK16" s="51">
        <f t="shared" si="9"/>
        <v>133290.33297641441</v>
      </c>
    </row>
    <row r="17" spans="1:37" x14ac:dyDescent="0.2">
      <c r="A17" s="3">
        <v>1973</v>
      </c>
      <c r="B17" s="3">
        <v>3</v>
      </c>
      <c r="C17" s="2">
        <v>210241</v>
      </c>
      <c r="D17" s="2">
        <v>210241</v>
      </c>
      <c r="E17" s="2">
        <v>210241</v>
      </c>
      <c r="F17" s="2">
        <v>210241</v>
      </c>
      <c r="G17" s="2">
        <v>210241</v>
      </c>
      <c r="H17" s="2">
        <v>210241</v>
      </c>
      <c r="I17" s="2">
        <v>210241</v>
      </c>
      <c r="J17" s="51">
        <f t="shared" si="0"/>
        <v>264496.42375061364</v>
      </c>
      <c r="K17" s="51">
        <f t="shared" si="1"/>
        <v>268973.34195055108</v>
      </c>
      <c r="L17" s="51">
        <f t="shared" si="2"/>
        <v>268973.34195055108</v>
      </c>
      <c r="M17" s="51">
        <f t="shared" si="3"/>
        <v>270837.80873337446</v>
      </c>
      <c r="N17" s="51">
        <f t="shared" si="4"/>
        <v>270837.80873337446</v>
      </c>
      <c r="O17" s="51">
        <f t="shared" si="4"/>
        <v>270837.80873337446</v>
      </c>
      <c r="P17" s="51">
        <f t="shared" si="4"/>
        <v>270837.80873337446</v>
      </c>
      <c r="Q17" s="51">
        <f t="shared" si="4"/>
        <v>270837.80873337446</v>
      </c>
      <c r="R17" s="2">
        <v>267873</v>
      </c>
      <c r="S17" s="2">
        <v>267873</v>
      </c>
      <c r="T17" s="2">
        <v>267873</v>
      </c>
      <c r="U17" s="2">
        <v>267873</v>
      </c>
      <c r="V17" s="2">
        <v>138345</v>
      </c>
      <c r="W17" s="2">
        <v>138345</v>
      </c>
      <c r="X17" s="2">
        <v>138345</v>
      </c>
      <c r="Y17" s="2">
        <v>138345</v>
      </c>
      <c r="Z17" s="2">
        <v>138345</v>
      </c>
      <c r="AA17" s="51">
        <f t="shared" si="5"/>
        <v>137532.2656634351</v>
      </c>
      <c r="AB17" s="51">
        <f t="shared" si="10"/>
        <v>137532.2656634351</v>
      </c>
      <c r="AC17" s="51">
        <f t="shared" si="10"/>
        <v>137532.2656634351</v>
      </c>
      <c r="AD17" s="51">
        <f t="shared" si="10"/>
        <v>137532.2656634351</v>
      </c>
      <c r="AE17" s="51">
        <f t="shared" si="10"/>
        <v>137532.2656634351</v>
      </c>
      <c r="AF17" s="51">
        <f t="shared" si="10"/>
        <v>137532.2656634351</v>
      </c>
      <c r="AG17" s="51">
        <f t="shared" si="10"/>
        <v>137532.2656634351</v>
      </c>
      <c r="AH17" s="51">
        <f t="shared" si="7"/>
        <v>137532.2656634351</v>
      </c>
      <c r="AI17" s="51">
        <f t="shared" si="7"/>
        <v>137532.2656634351</v>
      </c>
      <c r="AJ17" s="51">
        <f t="shared" si="8"/>
        <v>137532.2656634351</v>
      </c>
      <c r="AK17" s="51">
        <f t="shared" si="9"/>
        <v>137532.2656634351</v>
      </c>
    </row>
    <row r="18" spans="1:37" x14ac:dyDescent="0.2">
      <c r="A18" s="3">
        <v>1973</v>
      </c>
      <c r="B18" s="3">
        <v>4</v>
      </c>
      <c r="C18" s="2">
        <v>213528</v>
      </c>
      <c r="D18" s="2">
        <v>213528</v>
      </c>
      <c r="E18" s="2">
        <v>213528</v>
      </c>
      <c r="F18" s="2">
        <v>213528</v>
      </c>
      <c r="G18" s="2">
        <v>213528</v>
      </c>
      <c r="H18" s="2">
        <v>213528</v>
      </c>
      <c r="I18" s="2">
        <v>213528</v>
      </c>
      <c r="J18" s="51">
        <f t="shared" si="0"/>
        <v>268631.67684048798</v>
      </c>
      <c r="K18" s="51">
        <f t="shared" si="1"/>
        <v>273178.58914301812</v>
      </c>
      <c r="L18" s="51">
        <f t="shared" si="2"/>
        <v>273178.58914301812</v>
      </c>
      <c r="M18" s="51">
        <f t="shared" si="3"/>
        <v>275072.20581722877</v>
      </c>
      <c r="N18" s="51">
        <f t="shared" si="4"/>
        <v>275072.20581722877</v>
      </c>
      <c r="O18" s="51">
        <f t="shared" si="4"/>
        <v>275072.20581722877</v>
      </c>
      <c r="P18" s="51">
        <f t="shared" si="4"/>
        <v>275072.20581722877</v>
      </c>
      <c r="Q18" s="51">
        <f t="shared" si="4"/>
        <v>275072.20581722877</v>
      </c>
      <c r="R18" s="2">
        <v>274416</v>
      </c>
      <c r="S18" s="2">
        <v>274416</v>
      </c>
      <c r="T18" s="2">
        <v>274416</v>
      </c>
      <c r="U18" s="2">
        <v>274416</v>
      </c>
      <c r="V18" s="2">
        <v>141724</v>
      </c>
      <c r="W18" s="2">
        <v>141724</v>
      </c>
      <c r="X18" s="2">
        <v>141724</v>
      </c>
      <c r="Y18" s="2">
        <v>141724</v>
      </c>
      <c r="Z18" s="2">
        <v>141724</v>
      </c>
      <c r="AA18" s="51">
        <f t="shared" si="5"/>
        <v>140891.41507741282</v>
      </c>
      <c r="AB18" s="51">
        <f t="shared" si="10"/>
        <v>140891.41507741282</v>
      </c>
      <c r="AC18" s="51">
        <f t="shared" si="10"/>
        <v>140891.41507741282</v>
      </c>
      <c r="AD18" s="51">
        <f t="shared" si="10"/>
        <v>140891.41507741282</v>
      </c>
      <c r="AE18" s="51">
        <f t="shared" si="10"/>
        <v>140891.41507741282</v>
      </c>
      <c r="AF18" s="51">
        <f t="shared" si="10"/>
        <v>140891.41507741282</v>
      </c>
      <c r="AG18" s="51">
        <f t="shared" si="10"/>
        <v>140891.41507741282</v>
      </c>
      <c r="AH18" s="51">
        <f t="shared" si="7"/>
        <v>140891.41507741282</v>
      </c>
      <c r="AI18" s="51">
        <f t="shared" si="7"/>
        <v>140891.41507741282</v>
      </c>
      <c r="AJ18" s="51">
        <f t="shared" si="8"/>
        <v>140891.41507741282</v>
      </c>
      <c r="AK18" s="51">
        <f t="shared" si="9"/>
        <v>140891.41507741282</v>
      </c>
    </row>
    <row r="19" spans="1:37" x14ac:dyDescent="0.2">
      <c r="A19" s="3">
        <v>1974</v>
      </c>
      <c r="B19" s="3">
        <v>1</v>
      </c>
      <c r="C19" s="2">
        <v>217495</v>
      </c>
      <c r="D19" s="2">
        <v>217495</v>
      </c>
      <c r="E19" s="2">
        <v>217495</v>
      </c>
      <c r="F19" s="2">
        <v>217495</v>
      </c>
      <c r="G19" s="2">
        <v>217495</v>
      </c>
      <c r="H19" s="2">
        <v>217495</v>
      </c>
      <c r="I19" s="2">
        <v>217495</v>
      </c>
      <c r="J19" s="51">
        <f t="shared" si="0"/>
        <v>273622.41277219821</v>
      </c>
      <c r="K19" s="51">
        <f t="shared" si="1"/>
        <v>278253.79924722161</v>
      </c>
      <c r="L19" s="51">
        <f t="shared" si="2"/>
        <v>278253.79924722161</v>
      </c>
      <c r="M19" s="51">
        <f t="shared" si="3"/>
        <v>280182.59621322813</v>
      </c>
      <c r="N19" s="51">
        <f t="shared" si="4"/>
        <v>280182.59621322813</v>
      </c>
      <c r="O19" s="51">
        <f t="shared" si="4"/>
        <v>280182.59621322813</v>
      </c>
      <c r="P19" s="51">
        <f t="shared" si="4"/>
        <v>280182.59621322813</v>
      </c>
      <c r="Q19" s="51">
        <f t="shared" si="4"/>
        <v>280182.59621322813</v>
      </c>
      <c r="R19" s="2">
        <v>276641</v>
      </c>
      <c r="S19" s="2">
        <v>276641</v>
      </c>
      <c r="T19" s="2">
        <v>276641</v>
      </c>
      <c r="U19" s="2">
        <v>276641</v>
      </c>
      <c r="V19" s="2">
        <v>142873</v>
      </c>
      <c r="W19" s="2">
        <v>142873</v>
      </c>
      <c r="X19" s="2">
        <v>142873</v>
      </c>
      <c r="Y19" s="2">
        <v>142873</v>
      </c>
      <c r="Z19" s="2">
        <v>142873</v>
      </c>
      <c r="AA19" s="51">
        <f t="shared" si="5"/>
        <v>142033.66505570829</v>
      </c>
      <c r="AB19" s="51">
        <f t="shared" si="10"/>
        <v>142033.66505570829</v>
      </c>
      <c r="AC19" s="51">
        <f t="shared" si="10"/>
        <v>142033.66505570829</v>
      </c>
      <c r="AD19" s="51">
        <f t="shared" si="10"/>
        <v>142033.66505570829</v>
      </c>
      <c r="AE19" s="51">
        <f t="shared" si="10"/>
        <v>142033.66505570829</v>
      </c>
      <c r="AF19" s="51">
        <f t="shared" si="10"/>
        <v>142033.66505570829</v>
      </c>
      <c r="AG19" s="51">
        <f t="shared" si="10"/>
        <v>142033.66505570829</v>
      </c>
      <c r="AH19" s="51">
        <f t="shared" si="7"/>
        <v>142033.66505570829</v>
      </c>
      <c r="AI19" s="51">
        <f t="shared" si="7"/>
        <v>142033.66505570829</v>
      </c>
      <c r="AJ19" s="51">
        <f t="shared" si="8"/>
        <v>142033.66505570829</v>
      </c>
      <c r="AK19" s="51">
        <f t="shared" si="9"/>
        <v>142033.66505570829</v>
      </c>
    </row>
    <row r="20" spans="1:37" x14ac:dyDescent="0.2">
      <c r="A20" s="3">
        <v>1974</v>
      </c>
      <c r="B20" s="3">
        <v>2</v>
      </c>
      <c r="C20" s="2">
        <v>217637</v>
      </c>
      <c r="D20" s="2">
        <v>217637</v>
      </c>
      <c r="E20" s="2">
        <v>217637</v>
      </c>
      <c r="F20" s="2">
        <v>217637</v>
      </c>
      <c r="G20" s="2">
        <v>217637</v>
      </c>
      <c r="H20" s="2">
        <v>217637</v>
      </c>
      <c r="I20" s="2">
        <v>217637</v>
      </c>
      <c r="J20" s="51">
        <f t="shared" si="0"/>
        <v>273801.05771858158</v>
      </c>
      <c r="K20" s="51">
        <f t="shared" si="1"/>
        <v>278435.46797290776</v>
      </c>
      <c r="L20" s="51">
        <f t="shared" si="2"/>
        <v>278435.46797290776</v>
      </c>
      <c r="M20" s="51">
        <f t="shared" si="3"/>
        <v>280365.52422841138</v>
      </c>
      <c r="N20" s="51">
        <f t="shared" si="4"/>
        <v>280365.52422841138</v>
      </c>
      <c r="O20" s="51">
        <f t="shared" si="4"/>
        <v>280365.52422841138</v>
      </c>
      <c r="P20" s="51">
        <f t="shared" si="4"/>
        <v>280365.52422841138</v>
      </c>
      <c r="Q20" s="51">
        <f t="shared" si="4"/>
        <v>280365.52422841138</v>
      </c>
      <c r="R20" s="2">
        <v>279283</v>
      </c>
      <c r="S20" s="2">
        <v>279283</v>
      </c>
      <c r="T20" s="2">
        <v>279283</v>
      </c>
      <c r="U20" s="2">
        <v>279283</v>
      </c>
      <c r="V20" s="2">
        <v>144238</v>
      </c>
      <c r="W20" s="2">
        <v>144238</v>
      </c>
      <c r="X20" s="2">
        <v>144238</v>
      </c>
      <c r="Y20" s="2">
        <v>144238</v>
      </c>
      <c r="Z20" s="2">
        <v>144238</v>
      </c>
      <c r="AA20" s="51">
        <f t="shared" si="5"/>
        <v>143390.64610041963</v>
      </c>
      <c r="AB20" s="51">
        <f t="shared" si="10"/>
        <v>143390.64610041963</v>
      </c>
      <c r="AC20" s="51">
        <f t="shared" si="10"/>
        <v>143390.64610041963</v>
      </c>
      <c r="AD20" s="51">
        <f t="shared" si="10"/>
        <v>143390.64610041963</v>
      </c>
      <c r="AE20" s="51">
        <f t="shared" si="10"/>
        <v>143390.64610041963</v>
      </c>
      <c r="AF20" s="51">
        <f t="shared" si="10"/>
        <v>143390.64610041963</v>
      </c>
      <c r="AG20" s="51">
        <f t="shared" si="10"/>
        <v>143390.64610041963</v>
      </c>
      <c r="AH20" s="51">
        <f t="shared" si="7"/>
        <v>143390.64610041963</v>
      </c>
      <c r="AI20" s="51">
        <f t="shared" si="7"/>
        <v>143390.64610041963</v>
      </c>
      <c r="AJ20" s="51">
        <f t="shared" si="8"/>
        <v>143390.64610041963</v>
      </c>
      <c r="AK20" s="51">
        <f t="shared" si="9"/>
        <v>143390.64610041963</v>
      </c>
    </row>
    <row r="21" spans="1:37" x14ac:dyDescent="0.2">
      <c r="A21" s="3">
        <v>1974</v>
      </c>
      <c r="B21" s="3">
        <v>3</v>
      </c>
      <c r="C21" s="2">
        <v>216872</v>
      </c>
      <c r="D21" s="2">
        <v>216872</v>
      </c>
      <c r="E21" s="2">
        <v>216872</v>
      </c>
      <c r="F21" s="2">
        <v>216872</v>
      </c>
      <c r="G21" s="2">
        <v>216872</v>
      </c>
      <c r="H21" s="2">
        <v>216872</v>
      </c>
      <c r="I21" s="2">
        <v>216872</v>
      </c>
      <c r="J21" s="51">
        <f t="shared" si="0"/>
        <v>272838.63952151622</v>
      </c>
      <c r="K21" s="51">
        <f t="shared" si="1"/>
        <v>277456.75969720428</v>
      </c>
      <c r="L21" s="51">
        <f t="shared" si="2"/>
        <v>277456.75969720428</v>
      </c>
      <c r="M21" s="51">
        <f t="shared" si="3"/>
        <v>279380.03175224812</v>
      </c>
      <c r="N21" s="51">
        <f t="shared" si="4"/>
        <v>279380.03175224812</v>
      </c>
      <c r="O21" s="51">
        <f t="shared" si="4"/>
        <v>279380.03175224812</v>
      </c>
      <c r="P21" s="51">
        <f t="shared" si="4"/>
        <v>279380.03175224812</v>
      </c>
      <c r="Q21" s="51">
        <f t="shared" si="4"/>
        <v>279380.03175224812</v>
      </c>
      <c r="R21" s="2">
        <v>279749</v>
      </c>
      <c r="S21" s="2">
        <v>279749</v>
      </c>
      <c r="T21" s="2">
        <v>279749</v>
      </c>
      <c r="U21" s="2">
        <v>279749</v>
      </c>
      <c r="V21" s="2">
        <v>144478</v>
      </c>
      <c r="W21" s="2">
        <v>144478</v>
      </c>
      <c r="X21" s="2">
        <v>144478</v>
      </c>
      <c r="Y21" s="2">
        <v>144478</v>
      </c>
      <c r="Z21" s="2">
        <v>144478</v>
      </c>
      <c r="AA21" s="51">
        <f t="shared" si="5"/>
        <v>143629.23617421504</v>
      </c>
      <c r="AB21" s="51">
        <f t="shared" si="10"/>
        <v>143629.23617421504</v>
      </c>
      <c r="AC21" s="51">
        <f t="shared" si="10"/>
        <v>143629.23617421504</v>
      </c>
      <c r="AD21" s="51">
        <f t="shared" si="10"/>
        <v>143629.23617421504</v>
      </c>
      <c r="AE21" s="51">
        <f t="shared" si="10"/>
        <v>143629.23617421504</v>
      </c>
      <c r="AF21" s="51">
        <f t="shared" si="10"/>
        <v>143629.23617421504</v>
      </c>
      <c r="AG21" s="51">
        <f t="shared" si="10"/>
        <v>143629.23617421504</v>
      </c>
      <c r="AH21" s="51">
        <f t="shared" si="7"/>
        <v>143629.23617421504</v>
      </c>
      <c r="AI21" s="51">
        <f t="shared" si="7"/>
        <v>143629.23617421504</v>
      </c>
      <c r="AJ21" s="51">
        <f t="shared" si="8"/>
        <v>143629.23617421504</v>
      </c>
      <c r="AK21" s="51">
        <f t="shared" si="9"/>
        <v>143629.23617421504</v>
      </c>
    </row>
    <row r="22" spans="1:37" x14ac:dyDescent="0.2">
      <c r="A22" s="3">
        <v>1974</v>
      </c>
      <c r="B22" s="3">
        <v>4</v>
      </c>
      <c r="C22" s="2">
        <v>211767</v>
      </c>
      <c r="D22" s="2">
        <v>211767</v>
      </c>
      <c r="E22" s="2">
        <v>211767</v>
      </c>
      <c r="F22" s="2">
        <v>211767</v>
      </c>
      <c r="G22" s="2">
        <v>211767</v>
      </c>
      <c r="H22" s="2">
        <v>211767</v>
      </c>
      <c r="I22" s="2">
        <v>211767</v>
      </c>
      <c r="J22" s="51">
        <f t="shared" si="0"/>
        <v>266416.22789273359</v>
      </c>
      <c r="K22" s="51">
        <f t="shared" si="1"/>
        <v>270925.64107306546</v>
      </c>
      <c r="L22" s="51">
        <f t="shared" si="2"/>
        <v>270925.64107306546</v>
      </c>
      <c r="M22" s="51">
        <f t="shared" si="3"/>
        <v>272803.64078386477</v>
      </c>
      <c r="N22" s="51">
        <f t="shared" si="4"/>
        <v>272803.64078386477</v>
      </c>
      <c r="O22" s="51">
        <f t="shared" si="4"/>
        <v>272803.64078386477</v>
      </c>
      <c r="P22" s="51">
        <f t="shared" si="4"/>
        <v>272803.64078386477</v>
      </c>
      <c r="Q22" s="51">
        <f t="shared" si="4"/>
        <v>272803.64078386477</v>
      </c>
      <c r="R22" s="2">
        <v>273901</v>
      </c>
      <c r="S22" s="2">
        <v>273901</v>
      </c>
      <c r="T22" s="2">
        <v>273901</v>
      </c>
      <c r="U22" s="2">
        <v>273901</v>
      </c>
      <c r="V22" s="2">
        <v>141458</v>
      </c>
      <c r="W22" s="2">
        <v>141458</v>
      </c>
      <c r="X22" s="2">
        <v>141458</v>
      </c>
      <c r="Y22" s="2">
        <v>141458</v>
      </c>
      <c r="Z22" s="2">
        <v>141458</v>
      </c>
      <c r="AA22" s="51">
        <f t="shared" si="5"/>
        <v>140626.97774562295</v>
      </c>
      <c r="AB22" s="51">
        <f t="shared" si="10"/>
        <v>140626.97774562295</v>
      </c>
      <c r="AC22" s="51">
        <f t="shared" si="10"/>
        <v>140626.97774562295</v>
      </c>
      <c r="AD22" s="51">
        <f t="shared" si="10"/>
        <v>140626.97774562295</v>
      </c>
      <c r="AE22" s="51">
        <f t="shared" si="10"/>
        <v>140626.97774562295</v>
      </c>
      <c r="AF22" s="51">
        <f t="shared" si="10"/>
        <v>140626.97774562295</v>
      </c>
      <c r="AG22" s="51">
        <f t="shared" si="10"/>
        <v>140626.97774562295</v>
      </c>
      <c r="AH22" s="51">
        <f t="shared" si="7"/>
        <v>140626.97774562295</v>
      </c>
      <c r="AI22" s="51">
        <f t="shared" si="7"/>
        <v>140626.97774562295</v>
      </c>
      <c r="AJ22" s="51">
        <f t="shared" si="8"/>
        <v>140626.97774562295</v>
      </c>
      <c r="AK22" s="51">
        <f t="shared" si="9"/>
        <v>140626.97774562295</v>
      </c>
    </row>
    <row r="23" spans="1:37" x14ac:dyDescent="0.2">
      <c r="A23" s="3">
        <v>1975</v>
      </c>
      <c r="B23" s="3">
        <v>1</v>
      </c>
      <c r="C23" s="2">
        <v>209373</v>
      </c>
      <c r="D23" s="2">
        <v>209373</v>
      </c>
      <c r="E23" s="2">
        <v>209373</v>
      </c>
      <c r="F23" s="2">
        <v>209373</v>
      </c>
      <c r="G23" s="2">
        <v>209373</v>
      </c>
      <c r="H23" s="2">
        <v>209373</v>
      </c>
      <c r="I23" s="2">
        <v>209373</v>
      </c>
      <c r="J23" s="51">
        <f t="shared" si="0"/>
        <v>263404.42506427021</v>
      </c>
      <c r="K23" s="51">
        <f t="shared" si="1"/>
        <v>267862.85988086404</v>
      </c>
      <c r="L23" s="51">
        <f t="shared" si="2"/>
        <v>267862.85988086404</v>
      </c>
      <c r="M23" s="51">
        <f t="shared" si="3"/>
        <v>269719.62903493049</v>
      </c>
      <c r="N23" s="51">
        <f t="shared" ref="N23:Q42" si="11">$M23</f>
        <v>269719.62903493049</v>
      </c>
      <c r="O23" s="51">
        <f t="shared" si="11"/>
        <v>269719.62903493049</v>
      </c>
      <c r="P23" s="51">
        <f t="shared" si="11"/>
        <v>269719.62903493049</v>
      </c>
      <c r="Q23" s="51">
        <f t="shared" si="11"/>
        <v>269719.62903493049</v>
      </c>
      <c r="R23" s="2">
        <v>269136</v>
      </c>
      <c r="S23" s="2">
        <v>269136</v>
      </c>
      <c r="T23" s="2">
        <v>269136</v>
      </c>
      <c r="U23" s="2">
        <v>269136</v>
      </c>
      <c r="V23" s="2">
        <v>138997</v>
      </c>
      <c r="W23" s="2">
        <v>138997</v>
      </c>
      <c r="X23" s="2">
        <v>138997</v>
      </c>
      <c r="Y23" s="2">
        <v>138997</v>
      </c>
      <c r="Z23" s="2">
        <v>138997</v>
      </c>
      <c r="AA23" s="51">
        <f t="shared" si="5"/>
        <v>138180.43536391263</v>
      </c>
      <c r="AB23" s="51">
        <f t="shared" ref="AB23:AG32" si="12">$AA23</f>
        <v>138180.43536391263</v>
      </c>
      <c r="AC23" s="51">
        <f t="shared" si="12"/>
        <v>138180.43536391263</v>
      </c>
      <c r="AD23" s="51">
        <f t="shared" si="12"/>
        <v>138180.43536391263</v>
      </c>
      <c r="AE23" s="51">
        <f t="shared" si="12"/>
        <v>138180.43536391263</v>
      </c>
      <c r="AF23" s="51">
        <f t="shared" si="12"/>
        <v>138180.43536391263</v>
      </c>
      <c r="AG23" s="51">
        <f t="shared" si="12"/>
        <v>138180.43536391263</v>
      </c>
      <c r="AH23" s="51">
        <f t="shared" ref="AH23:AI42" si="13">AG23</f>
        <v>138180.43536391263</v>
      </c>
      <c r="AI23" s="51">
        <f t="shared" si="13"/>
        <v>138180.43536391263</v>
      </c>
      <c r="AJ23" s="51">
        <f t="shared" si="8"/>
        <v>138180.43536391263</v>
      </c>
      <c r="AK23" s="51">
        <f t="shared" si="9"/>
        <v>138180.43536391263</v>
      </c>
    </row>
    <row r="24" spans="1:37" x14ac:dyDescent="0.2">
      <c r="A24" s="3">
        <v>1975</v>
      </c>
      <c r="B24" s="3">
        <v>2</v>
      </c>
      <c r="C24" s="2">
        <v>208892</v>
      </c>
      <c r="D24" s="2">
        <v>208892</v>
      </c>
      <c r="E24" s="2">
        <v>208892</v>
      </c>
      <c r="F24" s="2">
        <v>208892</v>
      </c>
      <c r="G24" s="2">
        <v>208892</v>
      </c>
      <c r="H24" s="2">
        <v>208892</v>
      </c>
      <c r="I24" s="2">
        <v>208892</v>
      </c>
      <c r="J24" s="51">
        <f t="shared" si="0"/>
        <v>262799.29675997159</v>
      </c>
      <c r="K24" s="51">
        <f t="shared" si="1"/>
        <v>267247.48905653285</v>
      </c>
      <c r="L24" s="51">
        <f t="shared" si="2"/>
        <v>267247.48905653285</v>
      </c>
      <c r="M24" s="51">
        <f t="shared" si="3"/>
        <v>269099.99258913373</v>
      </c>
      <c r="N24" s="51">
        <f t="shared" si="11"/>
        <v>269099.99258913373</v>
      </c>
      <c r="O24" s="51">
        <f t="shared" si="11"/>
        <v>269099.99258913373</v>
      </c>
      <c r="P24" s="51">
        <f t="shared" si="11"/>
        <v>269099.99258913373</v>
      </c>
      <c r="Q24" s="51">
        <f t="shared" si="11"/>
        <v>269099.99258913373</v>
      </c>
      <c r="R24" s="2">
        <v>268997</v>
      </c>
      <c r="S24" s="2">
        <v>268997</v>
      </c>
      <c r="T24" s="2">
        <v>268997</v>
      </c>
      <c r="U24" s="2">
        <v>268997</v>
      </c>
      <c r="V24" s="2">
        <v>138926</v>
      </c>
      <c r="W24" s="2">
        <v>138926</v>
      </c>
      <c r="X24" s="2">
        <v>138926</v>
      </c>
      <c r="Y24" s="2">
        <v>138926</v>
      </c>
      <c r="Z24" s="2">
        <v>138926</v>
      </c>
      <c r="AA24" s="51">
        <f t="shared" si="5"/>
        <v>138109.85246708151</v>
      </c>
      <c r="AB24" s="51">
        <f t="shared" si="12"/>
        <v>138109.85246708151</v>
      </c>
      <c r="AC24" s="51">
        <f t="shared" si="12"/>
        <v>138109.85246708151</v>
      </c>
      <c r="AD24" s="51">
        <f t="shared" si="12"/>
        <v>138109.85246708151</v>
      </c>
      <c r="AE24" s="51">
        <f t="shared" si="12"/>
        <v>138109.85246708151</v>
      </c>
      <c r="AF24" s="51">
        <f t="shared" si="12"/>
        <v>138109.85246708151</v>
      </c>
      <c r="AG24" s="51">
        <f t="shared" si="12"/>
        <v>138109.85246708151</v>
      </c>
      <c r="AH24" s="51">
        <f t="shared" si="13"/>
        <v>138109.85246708151</v>
      </c>
      <c r="AI24" s="51">
        <f t="shared" si="13"/>
        <v>138109.85246708151</v>
      </c>
      <c r="AJ24" s="51">
        <f t="shared" si="8"/>
        <v>138109.85246708151</v>
      </c>
      <c r="AK24" s="51">
        <f t="shared" si="9"/>
        <v>138109.85246708151</v>
      </c>
    </row>
    <row r="25" spans="1:37" x14ac:dyDescent="0.2">
      <c r="A25" s="3">
        <v>1975</v>
      </c>
      <c r="B25" s="3">
        <v>3</v>
      </c>
      <c r="C25" s="2">
        <v>211910</v>
      </c>
      <c r="D25" s="2">
        <v>211910</v>
      </c>
      <c r="E25" s="2">
        <v>211910</v>
      </c>
      <c r="F25" s="2">
        <v>211910</v>
      </c>
      <c r="G25" s="2">
        <v>211910</v>
      </c>
      <c r="H25" s="2">
        <v>211910</v>
      </c>
      <c r="I25" s="2">
        <v>211910</v>
      </c>
      <c r="J25" s="51">
        <f t="shared" si="0"/>
        <v>266596.13090211968</v>
      </c>
      <c r="K25" s="51">
        <f t="shared" si="1"/>
        <v>271108.58915597474</v>
      </c>
      <c r="L25" s="51">
        <f t="shared" si="2"/>
        <v>271108.58915597474</v>
      </c>
      <c r="M25" s="51">
        <f t="shared" si="3"/>
        <v>272987.85702450707</v>
      </c>
      <c r="N25" s="51">
        <f t="shared" si="11"/>
        <v>272987.85702450707</v>
      </c>
      <c r="O25" s="51">
        <f t="shared" si="11"/>
        <v>272987.85702450707</v>
      </c>
      <c r="P25" s="51">
        <f t="shared" si="11"/>
        <v>272987.85702450707</v>
      </c>
      <c r="Q25" s="51">
        <f t="shared" si="11"/>
        <v>272987.85702450707</v>
      </c>
      <c r="R25" s="2">
        <v>272821</v>
      </c>
      <c r="S25" s="2">
        <v>272821</v>
      </c>
      <c r="T25" s="2">
        <v>272821</v>
      </c>
      <c r="U25" s="2">
        <v>272821</v>
      </c>
      <c r="V25" s="2">
        <v>140900</v>
      </c>
      <c r="W25" s="2">
        <v>140900</v>
      </c>
      <c r="X25" s="2">
        <v>140900</v>
      </c>
      <c r="Y25" s="2">
        <v>140900</v>
      </c>
      <c r="Z25" s="2">
        <v>140900</v>
      </c>
      <c r="AA25" s="51">
        <f t="shared" si="5"/>
        <v>140072.25582404865</v>
      </c>
      <c r="AB25" s="51">
        <f t="shared" si="12"/>
        <v>140072.25582404865</v>
      </c>
      <c r="AC25" s="51">
        <f t="shared" si="12"/>
        <v>140072.25582404865</v>
      </c>
      <c r="AD25" s="51">
        <f t="shared" si="12"/>
        <v>140072.25582404865</v>
      </c>
      <c r="AE25" s="51">
        <f t="shared" si="12"/>
        <v>140072.25582404865</v>
      </c>
      <c r="AF25" s="51">
        <f t="shared" si="12"/>
        <v>140072.25582404865</v>
      </c>
      <c r="AG25" s="51">
        <f t="shared" si="12"/>
        <v>140072.25582404865</v>
      </c>
      <c r="AH25" s="51">
        <f t="shared" si="13"/>
        <v>140072.25582404865</v>
      </c>
      <c r="AI25" s="51">
        <f t="shared" si="13"/>
        <v>140072.25582404865</v>
      </c>
      <c r="AJ25" s="51">
        <f t="shared" si="8"/>
        <v>140072.25582404865</v>
      </c>
      <c r="AK25" s="51">
        <f t="shared" si="9"/>
        <v>140072.25582404865</v>
      </c>
    </row>
    <row r="26" spans="1:37" x14ac:dyDescent="0.2">
      <c r="A26" s="3">
        <v>1975</v>
      </c>
      <c r="B26" s="3">
        <v>4</v>
      </c>
      <c r="C26" s="2">
        <v>215057</v>
      </c>
      <c r="D26" s="2">
        <v>215057</v>
      </c>
      <c r="E26" s="2">
        <v>215057</v>
      </c>
      <c r="F26" s="2">
        <v>215057</v>
      </c>
      <c r="G26" s="2">
        <v>215057</v>
      </c>
      <c r="H26" s="2">
        <v>215057</v>
      </c>
      <c r="I26" s="2">
        <v>215057</v>
      </c>
      <c r="J26" s="51">
        <f t="shared" si="0"/>
        <v>270555.25517161604</v>
      </c>
      <c r="K26" s="51">
        <f t="shared" si="1"/>
        <v>275134.72633720195</v>
      </c>
      <c r="L26" s="51">
        <f t="shared" si="2"/>
        <v>275134.72633720195</v>
      </c>
      <c r="M26" s="51">
        <f t="shared" si="3"/>
        <v>277041.90254409617</v>
      </c>
      <c r="N26" s="51">
        <f t="shared" si="11"/>
        <v>277041.90254409617</v>
      </c>
      <c r="O26" s="51">
        <f t="shared" si="11"/>
        <v>277041.90254409617</v>
      </c>
      <c r="P26" s="51">
        <f t="shared" si="11"/>
        <v>277041.90254409617</v>
      </c>
      <c r="Q26" s="51">
        <f t="shared" si="11"/>
        <v>277041.90254409617</v>
      </c>
      <c r="R26" s="2">
        <v>275878</v>
      </c>
      <c r="S26" s="2">
        <v>275878</v>
      </c>
      <c r="T26" s="2">
        <v>275878</v>
      </c>
      <c r="U26" s="2">
        <v>275878</v>
      </c>
      <c r="V26" s="2">
        <v>142479</v>
      </c>
      <c r="W26" s="2">
        <v>142479</v>
      </c>
      <c r="X26" s="2">
        <v>142479</v>
      </c>
      <c r="Y26" s="2">
        <v>142479</v>
      </c>
      <c r="Z26" s="2">
        <v>142479</v>
      </c>
      <c r="AA26" s="51">
        <f t="shared" si="5"/>
        <v>141641.97968456088</v>
      </c>
      <c r="AB26" s="51">
        <f t="shared" si="12"/>
        <v>141641.97968456088</v>
      </c>
      <c r="AC26" s="51">
        <f t="shared" si="12"/>
        <v>141641.97968456088</v>
      </c>
      <c r="AD26" s="51">
        <f t="shared" si="12"/>
        <v>141641.97968456088</v>
      </c>
      <c r="AE26" s="51">
        <f t="shared" si="12"/>
        <v>141641.97968456088</v>
      </c>
      <c r="AF26" s="51">
        <f t="shared" si="12"/>
        <v>141641.97968456088</v>
      </c>
      <c r="AG26" s="51">
        <f t="shared" si="12"/>
        <v>141641.97968456088</v>
      </c>
      <c r="AH26" s="51">
        <f t="shared" si="13"/>
        <v>141641.97968456088</v>
      </c>
      <c r="AI26" s="51">
        <f t="shared" si="13"/>
        <v>141641.97968456088</v>
      </c>
      <c r="AJ26" s="51">
        <f t="shared" si="8"/>
        <v>141641.97968456088</v>
      </c>
      <c r="AK26" s="51">
        <f t="shared" si="9"/>
        <v>141641.97968456088</v>
      </c>
    </row>
    <row r="27" spans="1:37" x14ac:dyDescent="0.2">
      <c r="A27" s="3">
        <v>1976</v>
      </c>
      <c r="B27" s="3">
        <v>1</v>
      </c>
      <c r="C27" s="2">
        <v>217958</v>
      </c>
      <c r="D27" s="2">
        <v>217958</v>
      </c>
      <c r="E27" s="2">
        <v>217958</v>
      </c>
      <c r="F27" s="2">
        <v>217958</v>
      </c>
      <c r="G27" s="2">
        <v>217958</v>
      </c>
      <c r="H27" s="2">
        <v>217958</v>
      </c>
      <c r="I27" s="2">
        <v>217958</v>
      </c>
      <c r="J27" s="51">
        <f t="shared" si="0"/>
        <v>274204.89594244823</v>
      </c>
      <c r="K27" s="51">
        <f t="shared" si="1"/>
        <v>278846.14164153626</v>
      </c>
      <c r="L27" s="51">
        <f t="shared" si="2"/>
        <v>278846.14164153626</v>
      </c>
      <c r="M27" s="51">
        <f t="shared" si="3"/>
        <v>280779.04460076219</v>
      </c>
      <c r="N27" s="51">
        <f t="shared" si="11"/>
        <v>280779.04460076219</v>
      </c>
      <c r="O27" s="51">
        <f t="shared" si="11"/>
        <v>280779.04460076219</v>
      </c>
      <c r="P27" s="51">
        <f t="shared" si="11"/>
        <v>280779.04460076219</v>
      </c>
      <c r="Q27" s="51">
        <f t="shared" si="11"/>
        <v>280779.04460076219</v>
      </c>
      <c r="R27" s="2">
        <v>280738</v>
      </c>
      <c r="S27" s="2">
        <v>280738</v>
      </c>
      <c r="T27" s="2">
        <v>280738</v>
      </c>
      <c r="U27" s="2">
        <v>280738</v>
      </c>
      <c r="V27" s="2">
        <v>144989</v>
      </c>
      <c r="W27" s="2">
        <v>144989</v>
      </c>
      <c r="X27" s="2">
        <v>144989</v>
      </c>
      <c r="Y27" s="2">
        <v>144989</v>
      </c>
      <c r="Z27" s="2">
        <v>144989</v>
      </c>
      <c r="AA27" s="51">
        <f t="shared" si="5"/>
        <v>144137.23420633774</v>
      </c>
      <c r="AB27" s="51">
        <f t="shared" si="12"/>
        <v>144137.23420633774</v>
      </c>
      <c r="AC27" s="51">
        <f t="shared" si="12"/>
        <v>144137.23420633774</v>
      </c>
      <c r="AD27" s="51">
        <f t="shared" si="12"/>
        <v>144137.23420633774</v>
      </c>
      <c r="AE27" s="51">
        <f t="shared" si="12"/>
        <v>144137.23420633774</v>
      </c>
      <c r="AF27" s="51">
        <f t="shared" si="12"/>
        <v>144137.23420633774</v>
      </c>
      <c r="AG27" s="51">
        <f t="shared" si="12"/>
        <v>144137.23420633774</v>
      </c>
      <c r="AH27" s="51">
        <f t="shared" si="13"/>
        <v>144137.23420633774</v>
      </c>
      <c r="AI27" s="51">
        <f t="shared" si="13"/>
        <v>144137.23420633774</v>
      </c>
      <c r="AJ27" s="51">
        <f t="shared" si="8"/>
        <v>144137.23420633774</v>
      </c>
      <c r="AK27" s="51">
        <f t="shared" si="9"/>
        <v>144137.23420633774</v>
      </c>
    </row>
    <row r="28" spans="1:37" x14ac:dyDescent="0.2">
      <c r="A28" s="3">
        <v>1976</v>
      </c>
      <c r="B28" s="3">
        <v>2</v>
      </c>
      <c r="C28" s="2">
        <v>222760</v>
      </c>
      <c r="D28" s="2">
        <v>222760</v>
      </c>
      <c r="E28" s="2">
        <v>222760</v>
      </c>
      <c r="F28" s="2">
        <v>222760</v>
      </c>
      <c r="G28" s="2">
        <v>222760</v>
      </c>
      <c r="H28" s="2">
        <v>222760</v>
      </c>
      <c r="I28" s="2">
        <v>222760</v>
      </c>
      <c r="J28" s="51">
        <f t="shared" si="0"/>
        <v>280246.11448141275</v>
      </c>
      <c r="K28" s="51">
        <f t="shared" si="1"/>
        <v>284989.61502706306</v>
      </c>
      <c r="L28" s="51">
        <f t="shared" si="2"/>
        <v>284989.61502706306</v>
      </c>
      <c r="M28" s="51">
        <f t="shared" si="3"/>
        <v>286965.1032550573</v>
      </c>
      <c r="N28" s="51">
        <f t="shared" si="11"/>
        <v>286965.1032550573</v>
      </c>
      <c r="O28" s="51">
        <f t="shared" si="11"/>
        <v>286965.1032550573</v>
      </c>
      <c r="P28" s="51">
        <f t="shared" si="11"/>
        <v>286965.1032550573</v>
      </c>
      <c r="Q28" s="51">
        <f t="shared" si="11"/>
        <v>286965.1032550573</v>
      </c>
      <c r="R28" s="2">
        <v>285812</v>
      </c>
      <c r="S28" s="2">
        <v>285812</v>
      </c>
      <c r="T28" s="2">
        <v>285812</v>
      </c>
      <c r="U28" s="2">
        <v>285812</v>
      </c>
      <c r="V28" s="2">
        <v>147610</v>
      </c>
      <c r="W28" s="2">
        <v>147610</v>
      </c>
      <c r="X28" s="2">
        <v>147610</v>
      </c>
      <c r="Y28" s="2">
        <v>147610</v>
      </c>
      <c r="Z28" s="2">
        <v>147610</v>
      </c>
      <c r="AA28" s="51">
        <f t="shared" si="5"/>
        <v>146742.836637245</v>
      </c>
      <c r="AB28" s="51">
        <f t="shared" si="12"/>
        <v>146742.836637245</v>
      </c>
      <c r="AC28" s="51">
        <f t="shared" si="12"/>
        <v>146742.836637245</v>
      </c>
      <c r="AD28" s="51">
        <f t="shared" si="12"/>
        <v>146742.836637245</v>
      </c>
      <c r="AE28" s="51">
        <f t="shared" si="12"/>
        <v>146742.836637245</v>
      </c>
      <c r="AF28" s="51">
        <f t="shared" si="12"/>
        <v>146742.836637245</v>
      </c>
      <c r="AG28" s="51">
        <f t="shared" si="12"/>
        <v>146742.836637245</v>
      </c>
      <c r="AH28" s="51">
        <f t="shared" si="13"/>
        <v>146742.836637245</v>
      </c>
      <c r="AI28" s="51">
        <f t="shared" si="13"/>
        <v>146742.836637245</v>
      </c>
      <c r="AJ28" s="51">
        <f t="shared" si="8"/>
        <v>146742.836637245</v>
      </c>
      <c r="AK28" s="51">
        <f t="shared" si="9"/>
        <v>146742.836637245</v>
      </c>
    </row>
    <row r="29" spans="1:37" x14ac:dyDescent="0.2">
      <c r="A29" s="3">
        <v>1976</v>
      </c>
      <c r="B29" s="3">
        <v>3</v>
      </c>
      <c r="C29" s="2">
        <v>228039</v>
      </c>
      <c r="D29" s="2">
        <v>228039</v>
      </c>
      <c r="E29" s="2">
        <v>228039</v>
      </c>
      <c r="F29" s="2">
        <v>228039</v>
      </c>
      <c r="G29" s="2">
        <v>228039</v>
      </c>
      <c r="H29" s="2">
        <v>228039</v>
      </c>
      <c r="I29" s="2">
        <v>228039</v>
      </c>
      <c r="J29" s="51">
        <f t="shared" si="0"/>
        <v>286887.42907266511</v>
      </c>
      <c r="K29" s="51">
        <f t="shared" si="1"/>
        <v>291743.34180802852</v>
      </c>
      <c r="L29" s="51">
        <f t="shared" si="2"/>
        <v>291743.34180802852</v>
      </c>
      <c r="M29" s="51">
        <f t="shared" si="3"/>
        <v>293765.64545331307</v>
      </c>
      <c r="N29" s="51">
        <f t="shared" si="11"/>
        <v>293765.64545331307</v>
      </c>
      <c r="O29" s="51">
        <f t="shared" si="11"/>
        <v>293765.64545331307</v>
      </c>
      <c r="P29" s="51">
        <f t="shared" si="11"/>
        <v>293765.64545331307</v>
      </c>
      <c r="Q29" s="51">
        <f t="shared" si="11"/>
        <v>293765.64545331307</v>
      </c>
      <c r="R29" s="2">
        <v>293076</v>
      </c>
      <c r="S29" s="2">
        <v>293076</v>
      </c>
      <c r="T29" s="2">
        <v>293076</v>
      </c>
      <c r="U29" s="2">
        <v>293076</v>
      </c>
      <c r="V29" s="2">
        <v>151361</v>
      </c>
      <c r="W29" s="2">
        <v>151361</v>
      </c>
      <c r="X29" s="2">
        <v>151361</v>
      </c>
      <c r="Y29" s="2">
        <v>151361</v>
      </c>
      <c r="Z29" s="2">
        <v>151361</v>
      </c>
      <c r="AA29" s="51">
        <f t="shared" si="5"/>
        <v>150471.80066560558</v>
      </c>
      <c r="AB29" s="51">
        <f t="shared" si="12"/>
        <v>150471.80066560558</v>
      </c>
      <c r="AC29" s="51">
        <f t="shared" si="12"/>
        <v>150471.80066560558</v>
      </c>
      <c r="AD29" s="51">
        <f t="shared" si="12"/>
        <v>150471.80066560558</v>
      </c>
      <c r="AE29" s="51">
        <f t="shared" si="12"/>
        <v>150471.80066560558</v>
      </c>
      <c r="AF29" s="51">
        <f t="shared" si="12"/>
        <v>150471.80066560558</v>
      </c>
      <c r="AG29" s="51">
        <f t="shared" si="12"/>
        <v>150471.80066560558</v>
      </c>
      <c r="AH29" s="51">
        <f t="shared" si="13"/>
        <v>150471.80066560558</v>
      </c>
      <c r="AI29" s="51">
        <f t="shared" si="13"/>
        <v>150471.80066560558</v>
      </c>
      <c r="AJ29" s="51">
        <f t="shared" si="8"/>
        <v>150471.80066560558</v>
      </c>
      <c r="AK29" s="51">
        <f t="shared" si="9"/>
        <v>150471.80066560558</v>
      </c>
    </row>
    <row r="30" spans="1:37" x14ac:dyDescent="0.2">
      <c r="A30" s="3">
        <v>1976</v>
      </c>
      <c r="B30" s="3">
        <v>4</v>
      </c>
      <c r="C30" s="2">
        <v>231400</v>
      </c>
      <c r="D30" s="2">
        <v>231400</v>
      </c>
      <c r="E30" s="2">
        <v>231400</v>
      </c>
      <c r="F30" s="2">
        <v>231400</v>
      </c>
      <c r="G30" s="2">
        <v>231400</v>
      </c>
      <c r="H30" s="2">
        <v>231400</v>
      </c>
      <c r="I30" s="2">
        <v>231400</v>
      </c>
      <c r="J30" s="51">
        <f t="shared" si="0"/>
        <v>291115.77882473922</v>
      </c>
      <c r="K30" s="51">
        <f t="shared" si="1"/>
        <v>296043.26143500803</v>
      </c>
      <c r="L30" s="51">
        <f t="shared" si="2"/>
        <v>296043.26143500803</v>
      </c>
      <c r="M30" s="51">
        <f t="shared" si="3"/>
        <v>298095.37122113601</v>
      </c>
      <c r="N30" s="51">
        <f t="shared" si="11"/>
        <v>298095.37122113601</v>
      </c>
      <c r="O30" s="51">
        <f t="shared" si="11"/>
        <v>298095.37122113601</v>
      </c>
      <c r="P30" s="51">
        <f t="shared" si="11"/>
        <v>298095.37122113601</v>
      </c>
      <c r="Q30" s="51">
        <f t="shared" si="11"/>
        <v>298095.37122113601</v>
      </c>
      <c r="R30" s="2">
        <v>298160</v>
      </c>
      <c r="S30" s="2">
        <v>298160</v>
      </c>
      <c r="T30" s="2">
        <v>298160</v>
      </c>
      <c r="U30" s="2">
        <v>298160</v>
      </c>
      <c r="V30" s="2">
        <v>153987</v>
      </c>
      <c r="W30" s="2">
        <v>153987</v>
      </c>
      <c r="X30" s="2">
        <v>153987</v>
      </c>
      <c r="Y30" s="2">
        <v>153987</v>
      </c>
      <c r="Z30" s="2">
        <v>153987</v>
      </c>
      <c r="AA30" s="51">
        <f t="shared" si="5"/>
        <v>153082.37372305023</v>
      </c>
      <c r="AB30" s="51">
        <f t="shared" si="12"/>
        <v>153082.37372305023</v>
      </c>
      <c r="AC30" s="51">
        <f t="shared" si="12"/>
        <v>153082.37372305023</v>
      </c>
      <c r="AD30" s="51">
        <f t="shared" si="12"/>
        <v>153082.37372305023</v>
      </c>
      <c r="AE30" s="51">
        <f t="shared" si="12"/>
        <v>153082.37372305023</v>
      </c>
      <c r="AF30" s="51">
        <f t="shared" si="12"/>
        <v>153082.37372305023</v>
      </c>
      <c r="AG30" s="51">
        <f t="shared" si="12"/>
        <v>153082.37372305023</v>
      </c>
      <c r="AH30" s="51">
        <f t="shared" si="13"/>
        <v>153082.37372305023</v>
      </c>
      <c r="AI30" s="51">
        <f t="shared" si="13"/>
        <v>153082.37372305023</v>
      </c>
      <c r="AJ30" s="51">
        <f t="shared" si="8"/>
        <v>153082.37372305023</v>
      </c>
      <c r="AK30" s="51">
        <f t="shared" si="9"/>
        <v>153082.37372305023</v>
      </c>
    </row>
    <row r="31" spans="1:37" x14ac:dyDescent="0.2">
      <c r="A31" s="3">
        <v>1977</v>
      </c>
      <c r="B31" s="3">
        <v>1</v>
      </c>
      <c r="C31" s="2">
        <v>232828</v>
      </c>
      <c r="D31" s="2">
        <v>232828</v>
      </c>
      <c r="E31" s="2">
        <v>232828</v>
      </c>
      <c r="F31" s="2">
        <v>232828</v>
      </c>
      <c r="G31" s="2">
        <v>232828</v>
      </c>
      <c r="H31" s="2">
        <v>232828</v>
      </c>
      <c r="I31" s="2">
        <v>232828</v>
      </c>
      <c r="J31" s="51">
        <f t="shared" si="0"/>
        <v>292912.29279259458</v>
      </c>
      <c r="K31" s="51">
        <f t="shared" si="1"/>
        <v>297870.1835496545</v>
      </c>
      <c r="L31" s="51">
        <f t="shared" si="2"/>
        <v>297870.1835496545</v>
      </c>
      <c r="M31" s="51">
        <f t="shared" si="3"/>
        <v>299934.95717664069</v>
      </c>
      <c r="N31" s="51">
        <f t="shared" si="11"/>
        <v>299934.95717664069</v>
      </c>
      <c r="O31" s="51">
        <f t="shared" si="11"/>
        <v>299934.95717664069</v>
      </c>
      <c r="P31" s="51">
        <f t="shared" si="11"/>
        <v>299934.95717664069</v>
      </c>
      <c r="Q31" s="51">
        <f t="shared" si="11"/>
        <v>299934.95717664069</v>
      </c>
      <c r="R31" s="2">
        <v>298278</v>
      </c>
      <c r="S31" s="2">
        <v>298278</v>
      </c>
      <c r="T31" s="2">
        <v>298278</v>
      </c>
      <c r="U31" s="2">
        <v>298278</v>
      </c>
      <c r="V31" s="2">
        <v>154048</v>
      </c>
      <c r="W31" s="2">
        <v>154048</v>
      </c>
      <c r="X31" s="2">
        <v>154048</v>
      </c>
      <c r="Y31" s="2">
        <v>154048</v>
      </c>
      <c r="Z31" s="2">
        <v>154048</v>
      </c>
      <c r="AA31" s="51">
        <f t="shared" si="5"/>
        <v>153143.01536680656</v>
      </c>
      <c r="AB31" s="51">
        <f t="shared" si="12"/>
        <v>153143.01536680656</v>
      </c>
      <c r="AC31" s="51">
        <f t="shared" si="12"/>
        <v>153143.01536680656</v>
      </c>
      <c r="AD31" s="51">
        <f t="shared" si="12"/>
        <v>153143.01536680656</v>
      </c>
      <c r="AE31" s="51">
        <f t="shared" si="12"/>
        <v>153143.01536680656</v>
      </c>
      <c r="AF31" s="51">
        <f t="shared" si="12"/>
        <v>153143.01536680656</v>
      </c>
      <c r="AG31" s="51">
        <f t="shared" si="12"/>
        <v>153143.01536680656</v>
      </c>
      <c r="AH31" s="51">
        <f t="shared" si="13"/>
        <v>153143.01536680656</v>
      </c>
      <c r="AI31" s="51">
        <f t="shared" si="13"/>
        <v>153143.01536680656</v>
      </c>
      <c r="AJ31" s="51">
        <f t="shared" si="8"/>
        <v>153143.01536680656</v>
      </c>
      <c r="AK31" s="51">
        <f t="shared" si="9"/>
        <v>153143.01536680656</v>
      </c>
    </row>
    <row r="32" spans="1:37" x14ac:dyDescent="0.2">
      <c r="A32" s="3">
        <v>1977</v>
      </c>
      <c r="B32" s="3">
        <v>2</v>
      </c>
      <c r="C32" s="2">
        <v>231733</v>
      </c>
      <c r="D32" s="2">
        <v>231733</v>
      </c>
      <c r="E32" s="2">
        <v>231733</v>
      </c>
      <c r="F32" s="2">
        <v>231733</v>
      </c>
      <c r="G32" s="2">
        <v>231733</v>
      </c>
      <c r="H32" s="2">
        <v>231733</v>
      </c>
      <c r="I32" s="2">
        <v>231733</v>
      </c>
      <c r="J32" s="51">
        <f t="shared" si="0"/>
        <v>291534.7138046383</v>
      </c>
      <c r="K32" s="51">
        <f t="shared" si="1"/>
        <v>296469.28739031428</v>
      </c>
      <c r="L32" s="51">
        <f t="shared" si="2"/>
        <v>296469.28739031428</v>
      </c>
      <c r="M32" s="51">
        <f t="shared" si="3"/>
        <v>298524.35029899533</v>
      </c>
      <c r="N32" s="51">
        <f t="shared" si="11"/>
        <v>298524.35029899533</v>
      </c>
      <c r="O32" s="51">
        <f t="shared" si="11"/>
        <v>298524.35029899533</v>
      </c>
      <c r="P32" s="51">
        <f t="shared" si="11"/>
        <v>298524.35029899533</v>
      </c>
      <c r="Q32" s="51">
        <f t="shared" si="11"/>
        <v>298524.35029899533</v>
      </c>
      <c r="R32" s="2">
        <v>296617</v>
      </c>
      <c r="S32" s="2">
        <v>296617</v>
      </c>
      <c r="T32" s="2">
        <v>296617</v>
      </c>
      <c r="U32" s="2">
        <v>296617</v>
      </c>
      <c r="V32" s="2">
        <v>153190</v>
      </c>
      <c r="W32" s="2">
        <v>153190</v>
      </c>
      <c r="X32" s="2">
        <v>153190</v>
      </c>
      <c r="Y32" s="2">
        <v>153190</v>
      </c>
      <c r="Z32" s="2">
        <v>153190</v>
      </c>
      <c r="AA32" s="51">
        <f t="shared" si="5"/>
        <v>152290.05585298801</v>
      </c>
      <c r="AB32" s="51">
        <f t="shared" si="12"/>
        <v>152290.05585298801</v>
      </c>
      <c r="AC32" s="51">
        <f t="shared" si="12"/>
        <v>152290.05585298801</v>
      </c>
      <c r="AD32" s="51">
        <f t="shared" si="12"/>
        <v>152290.05585298801</v>
      </c>
      <c r="AE32" s="51">
        <f t="shared" si="12"/>
        <v>152290.05585298801</v>
      </c>
      <c r="AF32" s="51">
        <f t="shared" si="12"/>
        <v>152290.05585298801</v>
      </c>
      <c r="AG32" s="51">
        <f t="shared" si="12"/>
        <v>152290.05585298801</v>
      </c>
      <c r="AH32" s="51">
        <f t="shared" si="13"/>
        <v>152290.05585298801</v>
      </c>
      <c r="AI32" s="51">
        <f t="shared" si="13"/>
        <v>152290.05585298801</v>
      </c>
      <c r="AJ32" s="51">
        <f t="shared" si="8"/>
        <v>152290.05585298801</v>
      </c>
      <c r="AK32" s="51">
        <f t="shared" si="9"/>
        <v>152290.05585298801</v>
      </c>
    </row>
    <row r="33" spans="1:37" x14ac:dyDescent="0.2">
      <c r="A33" s="3">
        <v>1977</v>
      </c>
      <c r="B33" s="3">
        <v>3</v>
      </c>
      <c r="C33" s="2">
        <v>230427</v>
      </c>
      <c r="D33" s="2">
        <v>230427</v>
      </c>
      <c r="E33" s="2">
        <v>230427</v>
      </c>
      <c r="F33" s="2">
        <v>230427</v>
      </c>
      <c r="G33" s="2">
        <v>230427</v>
      </c>
      <c r="H33" s="2">
        <v>230427</v>
      </c>
      <c r="I33" s="2">
        <v>230427</v>
      </c>
      <c r="J33" s="51">
        <f t="shared" si="0"/>
        <v>289891.68352311233</v>
      </c>
      <c r="K33" s="51">
        <f t="shared" si="1"/>
        <v>294798.4468568911</v>
      </c>
      <c r="L33" s="51">
        <f t="shared" si="2"/>
        <v>294798.4468568911</v>
      </c>
      <c r="M33" s="51">
        <f t="shared" si="3"/>
        <v>296841.92784949316</v>
      </c>
      <c r="N33" s="51">
        <f t="shared" si="11"/>
        <v>296841.92784949316</v>
      </c>
      <c r="O33" s="51">
        <f t="shared" si="11"/>
        <v>296841.92784949316</v>
      </c>
      <c r="P33" s="51">
        <f t="shared" si="11"/>
        <v>296841.92784949316</v>
      </c>
      <c r="Q33" s="51">
        <f t="shared" si="11"/>
        <v>296841.92784949316</v>
      </c>
      <c r="R33" s="2">
        <v>293843</v>
      </c>
      <c r="S33" s="2">
        <v>293843</v>
      </c>
      <c r="T33" s="2">
        <v>293843</v>
      </c>
      <c r="U33" s="2">
        <v>293843</v>
      </c>
      <c r="V33" s="2">
        <v>151757</v>
      </c>
      <c r="W33" s="2">
        <v>151757</v>
      </c>
      <c r="X33" s="2">
        <v>151757</v>
      </c>
      <c r="Y33" s="2">
        <v>151757</v>
      </c>
      <c r="Z33" s="2">
        <v>151757</v>
      </c>
      <c r="AA33" s="51">
        <f t="shared" si="5"/>
        <v>150865.47428736798</v>
      </c>
      <c r="AB33" s="51">
        <f t="shared" ref="AB33:AG42" si="14">$AA33</f>
        <v>150865.47428736798</v>
      </c>
      <c r="AC33" s="51">
        <f t="shared" si="14"/>
        <v>150865.47428736798</v>
      </c>
      <c r="AD33" s="51">
        <f t="shared" si="14"/>
        <v>150865.47428736798</v>
      </c>
      <c r="AE33" s="51">
        <f t="shared" si="14"/>
        <v>150865.47428736798</v>
      </c>
      <c r="AF33" s="51">
        <f t="shared" si="14"/>
        <v>150865.47428736798</v>
      </c>
      <c r="AG33" s="51">
        <f t="shared" si="14"/>
        <v>150865.47428736798</v>
      </c>
      <c r="AH33" s="51">
        <f t="shared" si="13"/>
        <v>150865.47428736798</v>
      </c>
      <c r="AI33" s="51">
        <f t="shared" si="13"/>
        <v>150865.47428736798</v>
      </c>
      <c r="AJ33" s="51">
        <f t="shared" si="8"/>
        <v>150865.47428736798</v>
      </c>
      <c r="AK33" s="51">
        <f t="shared" si="9"/>
        <v>150865.47428736798</v>
      </c>
    </row>
    <row r="34" spans="1:37" x14ac:dyDescent="0.2">
      <c r="A34" s="3">
        <v>1977</v>
      </c>
      <c r="B34" s="3">
        <v>4</v>
      </c>
      <c r="C34" s="2">
        <v>231182</v>
      </c>
      <c r="D34" s="2">
        <v>231182</v>
      </c>
      <c r="E34" s="2">
        <v>231182</v>
      </c>
      <c r="F34" s="2">
        <v>231182</v>
      </c>
      <c r="G34" s="2">
        <v>231182</v>
      </c>
      <c r="H34" s="2">
        <v>231182</v>
      </c>
      <c r="I34" s="2">
        <v>231182</v>
      </c>
      <c r="J34" s="51">
        <f t="shared" si="0"/>
        <v>290841.52109015069</v>
      </c>
      <c r="K34" s="51">
        <f t="shared" si="1"/>
        <v>295764.36156036315</v>
      </c>
      <c r="L34" s="51">
        <f t="shared" si="2"/>
        <v>295764.36156036315</v>
      </c>
      <c r="M34" s="51">
        <f t="shared" si="3"/>
        <v>297814.53807106602</v>
      </c>
      <c r="N34" s="51">
        <f t="shared" si="11"/>
        <v>297814.53807106602</v>
      </c>
      <c r="O34" s="51">
        <f t="shared" si="11"/>
        <v>297814.53807106602</v>
      </c>
      <c r="P34" s="51">
        <f t="shared" si="11"/>
        <v>297814.53807106602</v>
      </c>
      <c r="Q34" s="51">
        <f t="shared" si="11"/>
        <v>297814.53807106602</v>
      </c>
      <c r="R34" s="2">
        <v>296360</v>
      </c>
      <c r="S34" s="2">
        <v>296360</v>
      </c>
      <c r="T34" s="2">
        <v>296360</v>
      </c>
      <c r="U34" s="2">
        <v>296360</v>
      </c>
      <c r="V34" s="2">
        <v>153057</v>
      </c>
      <c r="W34" s="2">
        <v>153057</v>
      </c>
      <c r="X34" s="2">
        <v>153057</v>
      </c>
      <c r="Y34" s="2">
        <v>153057</v>
      </c>
      <c r="Z34" s="2">
        <v>153057</v>
      </c>
      <c r="AA34" s="51">
        <f t="shared" si="5"/>
        <v>152157.83718709307</v>
      </c>
      <c r="AB34" s="51">
        <f t="shared" si="14"/>
        <v>152157.83718709307</v>
      </c>
      <c r="AC34" s="51">
        <f t="shared" si="14"/>
        <v>152157.83718709307</v>
      </c>
      <c r="AD34" s="51">
        <f t="shared" si="14"/>
        <v>152157.83718709307</v>
      </c>
      <c r="AE34" s="51">
        <f t="shared" si="14"/>
        <v>152157.83718709307</v>
      </c>
      <c r="AF34" s="51">
        <f t="shared" si="14"/>
        <v>152157.83718709307</v>
      </c>
      <c r="AG34" s="51">
        <f t="shared" si="14"/>
        <v>152157.83718709307</v>
      </c>
      <c r="AH34" s="51">
        <f t="shared" si="13"/>
        <v>152157.83718709307</v>
      </c>
      <c r="AI34" s="51">
        <f t="shared" si="13"/>
        <v>152157.83718709307</v>
      </c>
      <c r="AJ34" s="51">
        <f t="shared" si="8"/>
        <v>152157.83718709307</v>
      </c>
      <c r="AK34" s="51">
        <f t="shared" si="9"/>
        <v>152157.83718709307</v>
      </c>
    </row>
    <row r="35" spans="1:37" x14ac:dyDescent="0.2">
      <c r="A35" s="3">
        <v>1978</v>
      </c>
      <c r="B35" s="3">
        <v>1</v>
      </c>
      <c r="C35" s="2">
        <v>235428</v>
      </c>
      <c r="D35" s="2">
        <v>235428</v>
      </c>
      <c r="E35" s="2">
        <v>235428</v>
      </c>
      <c r="F35" s="2">
        <v>235428</v>
      </c>
      <c r="G35" s="2">
        <v>235428</v>
      </c>
      <c r="H35" s="2">
        <v>235428</v>
      </c>
      <c r="I35" s="2">
        <v>235428</v>
      </c>
      <c r="J35" s="51">
        <f t="shared" ref="J35:J66" si="15">J36/I36*I35</f>
        <v>296183.25659961411</v>
      </c>
      <c r="K35" s="51">
        <f t="shared" ref="K35:K66" si="16">K36/J36*J35</f>
        <v>301196.5123298231</v>
      </c>
      <c r="L35" s="51">
        <f t="shared" ref="L35:L66" si="17">K35</f>
        <v>301196.5123298231</v>
      </c>
      <c r="M35" s="51">
        <f t="shared" si="3"/>
        <v>303284.34337013657</v>
      </c>
      <c r="N35" s="51">
        <f t="shared" si="11"/>
        <v>303284.34337013657</v>
      </c>
      <c r="O35" s="51">
        <f t="shared" si="11"/>
        <v>303284.34337013657</v>
      </c>
      <c r="P35" s="51">
        <f t="shared" si="11"/>
        <v>303284.34337013657</v>
      </c>
      <c r="Q35" s="51">
        <f t="shared" si="11"/>
        <v>303284.34337013657</v>
      </c>
      <c r="R35" s="2">
        <v>301204</v>
      </c>
      <c r="S35" s="2">
        <v>301204</v>
      </c>
      <c r="T35" s="2">
        <v>301204</v>
      </c>
      <c r="U35" s="2">
        <v>301204</v>
      </c>
      <c r="V35" s="2">
        <v>155559</v>
      </c>
      <c r="W35" s="2">
        <v>155559</v>
      </c>
      <c r="X35" s="2">
        <v>155559</v>
      </c>
      <c r="Y35" s="2">
        <v>155559</v>
      </c>
      <c r="Z35" s="2">
        <v>155559</v>
      </c>
      <c r="AA35" s="51">
        <f t="shared" si="5"/>
        <v>154645.1387064101</v>
      </c>
      <c r="AB35" s="51">
        <f t="shared" si="14"/>
        <v>154645.1387064101</v>
      </c>
      <c r="AC35" s="51">
        <f t="shared" si="14"/>
        <v>154645.1387064101</v>
      </c>
      <c r="AD35" s="51">
        <f t="shared" si="14"/>
        <v>154645.1387064101</v>
      </c>
      <c r="AE35" s="51">
        <f t="shared" si="14"/>
        <v>154645.1387064101</v>
      </c>
      <c r="AF35" s="51">
        <f t="shared" si="14"/>
        <v>154645.1387064101</v>
      </c>
      <c r="AG35" s="51">
        <f t="shared" si="14"/>
        <v>154645.1387064101</v>
      </c>
      <c r="AH35" s="51">
        <f t="shared" si="13"/>
        <v>154645.1387064101</v>
      </c>
      <c r="AI35" s="51">
        <f t="shared" si="13"/>
        <v>154645.1387064101</v>
      </c>
      <c r="AJ35" s="51">
        <f t="shared" si="8"/>
        <v>154645.1387064101</v>
      </c>
      <c r="AK35" s="51">
        <f t="shared" si="9"/>
        <v>154645.1387064101</v>
      </c>
    </row>
    <row r="36" spans="1:37" x14ac:dyDescent="0.2">
      <c r="A36" s="3">
        <v>1978</v>
      </c>
      <c r="B36" s="3">
        <v>2</v>
      </c>
      <c r="C36" s="2">
        <v>238149</v>
      </c>
      <c r="D36" s="2">
        <v>238149</v>
      </c>
      <c r="E36" s="2">
        <v>238149</v>
      </c>
      <c r="F36" s="2">
        <v>238149</v>
      </c>
      <c r="G36" s="2">
        <v>238149</v>
      </c>
      <c r="H36" s="2">
        <v>238149</v>
      </c>
      <c r="I36" s="2">
        <v>238149</v>
      </c>
      <c r="J36" s="51">
        <f t="shared" si="15"/>
        <v>299606.44602996035</v>
      </c>
      <c r="K36" s="51">
        <f t="shared" si="16"/>
        <v>304677.64333399193</v>
      </c>
      <c r="L36" s="51">
        <f t="shared" si="17"/>
        <v>304677.64333399193</v>
      </c>
      <c r="M36" s="51">
        <f t="shared" si="3"/>
        <v>306789.60484417598</v>
      </c>
      <c r="N36" s="51">
        <f t="shared" si="11"/>
        <v>306789.60484417598</v>
      </c>
      <c r="O36" s="51">
        <f t="shared" si="11"/>
        <v>306789.60484417598</v>
      </c>
      <c r="P36" s="51">
        <f t="shared" si="11"/>
        <v>306789.60484417598</v>
      </c>
      <c r="Q36" s="51">
        <f t="shared" si="11"/>
        <v>306789.60484417598</v>
      </c>
      <c r="R36" s="2">
        <v>306414</v>
      </c>
      <c r="S36" s="2">
        <v>306414</v>
      </c>
      <c r="T36" s="2">
        <v>306414</v>
      </c>
      <c r="U36" s="2">
        <v>306414</v>
      </c>
      <c r="V36" s="2">
        <v>158250</v>
      </c>
      <c r="W36" s="2">
        <v>158250</v>
      </c>
      <c r="X36" s="2">
        <v>158250</v>
      </c>
      <c r="Y36" s="2">
        <v>158250</v>
      </c>
      <c r="Z36" s="2">
        <v>158250</v>
      </c>
      <c r="AA36" s="51">
        <f t="shared" si="5"/>
        <v>157320.329908841</v>
      </c>
      <c r="AB36" s="51">
        <f t="shared" si="14"/>
        <v>157320.329908841</v>
      </c>
      <c r="AC36" s="51">
        <f t="shared" si="14"/>
        <v>157320.329908841</v>
      </c>
      <c r="AD36" s="51">
        <f t="shared" si="14"/>
        <v>157320.329908841</v>
      </c>
      <c r="AE36" s="51">
        <f t="shared" si="14"/>
        <v>157320.329908841</v>
      </c>
      <c r="AF36" s="51">
        <f t="shared" si="14"/>
        <v>157320.329908841</v>
      </c>
      <c r="AG36" s="51">
        <f t="shared" si="14"/>
        <v>157320.329908841</v>
      </c>
      <c r="AH36" s="51">
        <f t="shared" si="13"/>
        <v>157320.329908841</v>
      </c>
      <c r="AI36" s="51">
        <f t="shared" si="13"/>
        <v>157320.329908841</v>
      </c>
      <c r="AJ36" s="51">
        <f t="shared" si="8"/>
        <v>157320.329908841</v>
      </c>
      <c r="AK36" s="51">
        <f t="shared" si="9"/>
        <v>157320.329908841</v>
      </c>
    </row>
    <row r="37" spans="1:37" x14ac:dyDescent="0.2">
      <c r="A37" s="3">
        <v>1978</v>
      </c>
      <c r="B37" s="3">
        <v>3</v>
      </c>
      <c r="C37" s="2">
        <v>241230</v>
      </c>
      <c r="D37" s="2">
        <v>241230</v>
      </c>
      <c r="E37" s="2">
        <v>241230</v>
      </c>
      <c r="F37" s="2">
        <v>241230</v>
      </c>
      <c r="G37" s="2">
        <v>241230</v>
      </c>
      <c r="H37" s="2">
        <v>241230</v>
      </c>
      <c r="I37" s="2">
        <v>241230</v>
      </c>
      <c r="J37" s="51">
        <f t="shared" si="15"/>
        <v>303482.53814127849</v>
      </c>
      <c r="K37" s="51">
        <f t="shared" si="16"/>
        <v>308619.34293849173</v>
      </c>
      <c r="L37" s="51">
        <f t="shared" si="17"/>
        <v>308619.34293849173</v>
      </c>
      <c r="M37" s="51">
        <f t="shared" si="3"/>
        <v>310758.62748346862</v>
      </c>
      <c r="N37" s="51">
        <f t="shared" si="11"/>
        <v>310758.62748346862</v>
      </c>
      <c r="O37" s="51">
        <f t="shared" si="11"/>
        <v>310758.62748346862</v>
      </c>
      <c r="P37" s="51">
        <f t="shared" si="11"/>
        <v>310758.62748346862</v>
      </c>
      <c r="Q37" s="51">
        <f t="shared" si="11"/>
        <v>310758.62748346862</v>
      </c>
      <c r="R37" s="2">
        <v>308026</v>
      </c>
      <c r="S37" s="2">
        <v>308026</v>
      </c>
      <c r="T37" s="2">
        <v>308026</v>
      </c>
      <c r="U37" s="2">
        <v>308026</v>
      </c>
      <c r="V37" s="2">
        <v>159082</v>
      </c>
      <c r="W37" s="2">
        <v>159082</v>
      </c>
      <c r="X37" s="2">
        <v>159082</v>
      </c>
      <c r="Y37" s="2">
        <v>159082</v>
      </c>
      <c r="Z37" s="2">
        <v>159082</v>
      </c>
      <c r="AA37" s="51">
        <f t="shared" si="5"/>
        <v>158147.44216466503</v>
      </c>
      <c r="AB37" s="51">
        <f t="shared" si="14"/>
        <v>158147.44216466503</v>
      </c>
      <c r="AC37" s="51">
        <f t="shared" si="14"/>
        <v>158147.44216466503</v>
      </c>
      <c r="AD37" s="51">
        <f t="shared" si="14"/>
        <v>158147.44216466503</v>
      </c>
      <c r="AE37" s="51">
        <f t="shared" si="14"/>
        <v>158147.44216466503</v>
      </c>
      <c r="AF37" s="51">
        <f t="shared" si="14"/>
        <v>158147.44216466503</v>
      </c>
      <c r="AG37" s="51">
        <f t="shared" si="14"/>
        <v>158147.44216466503</v>
      </c>
      <c r="AH37" s="51">
        <f t="shared" si="13"/>
        <v>158147.44216466503</v>
      </c>
      <c r="AI37" s="51">
        <f t="shared" si="13"/>
        <v>158147.44216466503</v>
      </c>
      <c r="AJ37" s="51">
        <f t="shared" si="8"/>
        <v>158147.44216466503</v>
      </c>
      <c r="AK37" s="51">
        <f t="shared" si="9"/>
        <v>158147.44216466503</v>
      </c>
    </row>
    <row r="38" spans="1:37" x14ac:dyDescent="0.2">
      <c r="A38" s="3">
        <v>1978</v>
      </c>
      <c r="B38" s="3">
        <v>4</v>
      </c>
      <c r="C38" s="2">
        <v>245891</v>
      </c>
      <c r="D38" s="2">
        <v>245891</v>
      </c>
      <c r="E38" s="2">
        <v>245891</v>
      </c>
      <c r="F38" s="2">
        <v>245891</v>
      </c>
      <c r="G38" s="2">
        <v>245891</v>
      </c>
      <c r="H38" s="2">
        <v>245891</v>
      </c>
      <c r="I38" s="2">
        <v>245891</v>
      </c>
      <c r="J38" s="51">
        <f t="shared" si="15"/>
        <v>309346.36979686236</v>
      </c>
      <c r="K38" s="51">
        <f t="shared" si="16"/>
        <v>314582.42695555557</v>
      </c>
      <c r="L38" s="51">
        <f t="shared" si="17"/>
        <v>314582.42695555557</v>
      </c>
      <c r="M38" s="51">
        <f t="shared" si="3"/>
        <v>316763.04634803958</v>
      </c>
      <c r="N38" s="51">
        <f t="shared" si="11"/>
        <v>316763.04634803958</v>
      </c>
      <c r="O38" s="51">
        <f t="shared" si="11"/>
        <v>316763.04634803958</v>
      </c>
      <c r="P38" s="51">
        <f t="shared" si="11"/>
        <v>316763.04634803958</v>
      </c>
      <c r="Q38" s="51">
        <f t="shared" si="11"/>
        <v>316763.04634803958</v>
      </c>
      <c r="R38" s="2">
        <v>312720</v>
      </c>
      <c r="S38" s="2">
        <v>312720</v>
      </c>
      <c r="T38" s="2">
        <v>312720</v>
      </c>
      <c r="U38" s="2">
        <v>312720</v>
      </c>
      <c r="V38" s="2">
        <v>161506</v>
      </c>
      <c r="W38" s="2">
        <v>161506</v>
      </c>
      <c r="X38" s="2">
        <v>161506</v>
      </c>
      <c r="Y38" s="2">
        <v>161506</v>
      </c>
      <c r="Z38" s="2">
        <v>161506</v>
      </c>
      <c r="AA38" s="51">
        <f t="shared" si="5"/>
        <v>160557.20190999855</v>
      </c>
      <c r="AB38" s="51">
        <f t="shared" si="14"/>
        <v>160557.20190999855</v>
      </c>
      <c r="AC38" s="51">
        <f t="shared" si="14"/>
        <v>160557.20190999855</v>
      </c>
      <c r="AD38" s="51">
        <f t="shared" si="14"/>
        <v>160557.20190999855</v>
      </c>
      <c r="AE38" s="51">
        <f t="shared" si="14"/>
        <v>160557.20190999855</v>
      </c>
      <c r="AF38" s="51">
        <f t="shared" si="14"/>
        <v>160557.20190999855</v>
      </c>
      <c r="AG38" s="51">
        <f t="shared" si="14"/>
        <v>160557.20190999855</v>
      </c>
      <c r="AH38" s="51">
        <f t="shared" si="13"/>
        <v>160557.20190999855</v>
      </c>
      <c r="AI38" s="51">
        <f t="shared" si="13"/>
        <v>160557.20190999855</v>
      </c>
      <c r="AJ38" s="51">
        <f t="shared" si="8"/>
        <v>160557.20190999855</v>
      </c>
      <c r="AK38" s="51">
        <f t="shared" si="9"/>
        <v>160557.20190999855</v>
      </c>
    </row>
    <row r="39" spans="1:37" x14ac:dyDescent="0.2">
      <c r="A39" s="3">
        <v>1979</v>
      </c>
      <c r="B39" s="3">
        <v>1</v>
      </c>
      <c r="C39" s="2">
        <v>248833</v>
      </c>
      <c r="D39" s="2">
        <v>248833</v>
      </c>
      <c r="E39" s="2">
        <v>248833</v>
      </c>
      <c r="F39" s="2">
        <v>248833</v>
      </c>
      <c r="G39" s="2">
        <v>248833</v>
      </c>
      <c r="H39" s="2">
        <v>248833</v>
      </c>
      <c r="I39" s="2">
        <v>248833</v>
      </c>
      <c r="J39" s="51">
        <f t="shared" si="15"/>
        <v>313047.5911508053</v>
      </c>
      <c r="K39" s="51">
        <f t="shared" si="16"/>
        <v>318346.29590603872</v>
      </c>
      <c r="L39" s="51">
        <f t="shared" si="17"/>
        <v>318346.29590603872</v>
      </c>
      <c r="M39" s="51">
        <f t="shared" si="3"/>
        <v>320553.00564852613</v>
      </c>
      <c r="N39" s="51">
        <f t="shared" si="11"/>
        <v>320553.00564852613</v>
      </c>
      <c r="O39" s="51">
        <f t="shared" si="11"/>
        <v>320553.00564852613</v>
      </c>
      <c r="P39" s="51">
        <f t="shared" si="11"/>
        <v>320553.00564852613</v>
      </c>
      <c r="Q39" s="51">
        <f t="shared" si="11"/>
        <v>320553.00564852613</v>
      </c>
      <c r="R39" s="2">
        <v>317661</v>
      </c>
      <c r="S39" s="2">
        <v>317661</v>
      </c>
      <c r="T39" s="2">
        <v>317661</v>
      </c>
      <c r="U39" s="2">
        <v>317661</v>
      </c>
      <c r="V39" s="2">
        <v>164058</v>
      </c>
      <c r="W39" s="2">
        <v>164058</v>
      </c>
      <c r="X39" s="2">
        <v>164058</v>
      </c>
      <c r="Y39" s="2">
        <v>164058</v>
      </c>
      <c r="Z39" s="2">
        <v>164058</v>
      </c>
      <c r="AA39" s="51">
        <f t="shared" si="5"/>
        <v>163094.20969468963</v>
      </c>
      <c r="AB39" s="51">
        <f t="shared" si="14"/>
        <v>163094.20969468963</v>
      </c>
      <c r="AC39" s="51">
        <f t="shared" si="14"/>
        <v>163094.20969468963</v>
      </c>
      <c r="AD39" s="51">
        <f t="shared" si="14"/>
        <v>163094.20969468963</v>
      </c>
      <c r="AE39" s="51">
        <f t="shared" si="14"/>
        <v>163094.20969468963</v>
      </c>
      <c r="AF39" s="51">
        <f t="shared" si="14"/>
        <v>163094.20969468963</v>
      </c>
      <c r="AG39" s="51">
        <f t="shared" si="14"/>
        <v>163094.20969468963</v>
      </c>
      <c r="AH39" s="51">
        <f t="shared" si="13"/>
        <v>163094.20969468963</v>
      </c>
      <c r="AI39" s="51">
        <f t="shared" si="13"/>
        <v>163094.20969468963</v>
      </c>
      <c r="AJ39" s="51">
        <f t="shared" si="8"/>
        <v>163094.20969468963</v>
      </c>
      <c r="AK39" s="51">
        <f t="shared" si="9"/>
        <v>163094.20969468963</v>
      </c>
    </row>
    <row r="40" spans="1:37" x14ac:dyDescent="0.2">
      <c r="A40" s="3">
        <v>1979</v>
      </c>
      <c r="B40" s="3">
        <v>2</v>
      </c>
      <c r="C40" s="2">
        <v>250148</v>
      </c>
      <c r="D40" s="2">
        <v>250148</v>
      </c>
      <c r="E40" s="2">
        <v>250148</v>
      </c>
      <c r="F40" s="2">
        <v>250148</v>
      </c>
      <c r="G40" s="2">
        <v>250148</v>
      </c>
      <c r="H40" s="2">
        <v>250148</v>
      </c>
      <c r="I40" s="2">
        <v>250148</v>
      </c>
      <c r="J40" s="51">
        <f t="shared" si="15"/>
        <v>314701.94399935554</v>
      </c>
      <c r="K40" s="51">
        <f t="shared" si="16"/>
        <v>320028.65065447014</v>
      </c>
      <c r="L40" s="51">
        <f t="shared" si="17"/>
        <v>320028.65065447014</v>
      </c>
      <c r="M40" s="51">
        <f t="shared" si="3"/>
        <v>322247.02212715964</v>
      </c>
      <c r="N40" s="51">
        <f t="shared" si="11"/>
        <v>322247.02212715964</v>
      </c>
      <c r="O40" s="51">
        <f t="shared" si="11"/>
        <v>322247.02212715964</v>
      </c>
      <c r="P40" s="51">
        <f t="shared" si="11"/>
        <v>322247.02212715964</v>
      </c>
      <c r="Q40" s="51">
        <f t="shared" si="11"/>
        <v>322247.02212715964</v>
      </c>
      <c r="R40" s="2">
        <v>319971</v>
      </c>
      <c r="S40" s="2">
        <v>319971</v>
      </c>
      <c r="T40" s="2">
        <v>319971</v>
      </c>
      <c r="U40" s="2">
        <v>319971</v>
      </c>
      <c r="V40" s="2">
        <v>165251</v>
      </c>
      <c r="W40" s="2">
        <v>165251</v>
      </c>
      <c r="X40" s="2">
        <v>165251</v>
      </c>
      <c r="Y40" s="2">
        <v>165251</v>
      </c>
      <c r="Z40" s="2">
        <v>165251</v>
      </c>
      <c r="AA40" s="51">
        <f t="shared" si="5"/>
        <v>164280.20118651426</v>
      </c>
      <c r="AB40" s="51">
        <f t="shared" si="14"/>
        <v>164280.20118651426</v>
      </c>
      <c r="AC40" s="51">
        <f t="shared" si="14"/>
        <v>164280.20118651426</v>
      </c>
      <c r="AD40" s="51">
        <f t="shared" si="14"/>
        <v>164280.20118651426</v>
      </c>
      <c r="AE40" s="51">
        <f t="shared" si="14"/>
        <v>164280.20118651426</v>
      </c>
      <c r="AF40" s="51">
        <f t="shared" si="14"/>
        <v>164280.20118651426</v>
      </c>
      <c r="AG40" s="51">
        <f t="shared" si="14"/>
        <v>164280.20118651426</v>
      </c>
      <c r="AH40" s="51">
        <f t="shared" si="13"/>
        <v>164280.20118651426</v>
      </c>
      <c r="AI40" s="51">
        <f t="shared" si="13"/>
        <v>164280.20118651426</v>
      </c>
      <c r="AJ40" s="51">
        <f t="shared" si="8"/>
        <v>164280.20118651426</v>
      </c>
      <c r="AK40" s="51">
        <f t="shared" si="9"/>
        <v>164280.20118651426</v>
      </c>
    </row>
    <row r="41" spans="1:37" x14ac:dyDescent="0.2">
      <c r="A41" s="3">
        <v>1979</v>
      </c>
      <c r="B41" s="3">
        <v>3</v>
      </c>
      <c r="C41" s="2">
        <v>254448</v>
      </c>
      <c r="D41" s="2">
        <v>254448</v>
      </c>
      <c r="E41" s="2">
        <v>254448</v>
      </c>
      <c r="F41" s="2">
        <v>254448</v>
      </c>
      <c r="G41" s="2">
        <v>254448</v>
      </c>
      <c r="H41" s="2">
        <v>254448</v>
      </c>
      <c r="I41" s="2">
        <v>254448</v>
      </c>
      <c r="J41" s="51">
        <f t="shared" si="15"/>
        <v>320111.6149109648</v>
      </c>
      <c r="K41" s="51">
        <f t="shared" si="16"/>
        <v>325529.88671397982</v>
      </c>
      <c r="L41" s="51">
        <f t="shared" si="17"/>
        <v>325529.88671397982</v>
      </c>
      <c r="M41" s="51">
        <f t="shared" si="3"/>
        <v>327786.39160101826</v>
      </c>
      <c r="N41" s="51">
        <f t="shared" si="11"/>
        <v>327786.39160101826</v>
      </c>
      <c r="O41" s="51">
        <f t="shared" si="11"/>
        <v>327786.39160101826</v>
      </c>
      <c r="P41" s="51">
        <f t="shared" si="11"/>
        <v>327786.39160101826</v>
      </c>
      <c r="Q41" s="51">
        <f t="shared" si="11"/>
        <v>327786.39160101826</v>
      </c>
      <c r="R41" s="2">
        <v>325508</v>
      </c>
      <c r="S41" s="2">
        <v>325508</v>
      </c>
      <c r="T41" s="2">
        <v>325508</v>
      </c>
      <c r="U41" s="2">
        <v>325508</v>
      </c>
      <c r="V41" s="2">
        <v>168111</v>
      </c>
      <c r="W41" s="2">
        <v>168111</v>
      </c>
      <c r="X41" s="2">
        <v>168111</v>
      </c>
      <c r="Y41" s="2">
        <v>168111</v>
      </c>
      <c r="Z41" s="2">
        <v>168111</v>
      </c>
      <c r="AA41" s="51">
        <f t="shared" si="5"/>
        <v>167123.39956590941</v>
      </c>
      <c r="AB41" s="51">
        <f t="shared" si="14"/>
        <v>167123.39956590941</v>
      </c>
      <c r="AC41" s="51">
        <f t="shared" si="14"/>
        <v>167123.39956590941</v>
      </c>
      <c r="AD41" s="51">
        <f t="shared" si="14"/>
        <v>167123.39956590941</v>
      </c>
      <c r="AE41" s="51">
        <f t="shared" si="14"/>
        <v>167123.39956590941</v>
      </c>
      <c r="AF41" s="51">
        <f t="shared" si="14"/>
        <v>167123.39956590941</v>
      </c>
      <c r="AG41" s="51">
        <f t="shared" si="14"/>
        <v>167123.39956590941</v>
      </c>
      <c r="AH41" s="51">
        <f t="shared" si="13"/>
        <v>167123.39956590941</v>
      </c>
      <c r="AI41" s="51">
        <f t="shared" si="13"/>
        <v>167123.39956590941</v>
      </c>
      <c r="AJ41" s="51">
        <f t="shared" si="8"/>
        <v>167123.39956590941</v>
      </c>
      <c r="AK41" s="51">
        <f t="shared" si="9"/>
        <v>167123.39956590941</v>
      </c>
    </row>
    <row r="42" spans="1:37" x14ac:dyDescent="0.2">
      <c r="A42" s="3">
        <v>1979</v>
      </c>
      <c r="B42" s="3">
        <v>4</v>
      </c>
      <c r="C42" s="2">
        <v>261768</v>
      </c>
      <c r="D42" s="2">
        <v>261768</v>
      </c>
      <c r="E42" s="2">
        <v>261768</v>
      </c>
      <c r="F42" s="2">
        <v>261768</v>
      </c>
      <c r="G42" s="2">
        <v>261768</v>
      </c>
      <c r="H42" s="2">
        <v>261768</v>
      </c>
      <c r="I42" s="2">
        <v>261768</v>
      </c>
      <c r="J42" s="51">
        <f t="shared" si="15"/>
        <v>329320.63609072746</v>
      </c>
      <c r="K42" s="51">
        <f t="shared" si="16"/>
        <v>334894.7815873776</v>
      </c>
      <c r="L42" s="51">
        <f t="shared" si="17"/>
        <v>334894.7815873776</v>
      </c>
      <c r="M42" s="51">
        <f t="shared" si="3"/>
        <v>337216.2019611682</v>
      </c>
      <c r="N42" s="51">
        <f t="shared" si="11"/>
        <v>337216.2019611682</v>
      </c>
      <c r="O42" s="51">
        <f t="shared" si="11"/>
        <v>337216.2019611682</v>
      </c>
      <c r="P42" s="51">
        <f t="shared" si="11"/>
        <v>337216.2019611682</v>
      </c>
      <c r="Q42" s="51">
        <f t="shared" si="11"/>
        <v>337216.2019611682</v>
      </c>
      <c r="R42" s="2">
        <v>333170</v>
      </c>
      <c r="S42" s="2">
        <v>333170</v>
      </c>
      <c r="T42" s="2">
        <v>333170</v>
      </c>
      <c r="U42" s="2">
        <v>333170</v>
      </c>
      <c r="V42" s="2">
        <v>172068</v>
      </c>
      <c r="W42" s="2">
        <v>172068</v>
      </c>
      <c r="X42" s="2">
        <v>172068</v>
      </c>
      <c r="Y42" s="2">
        <v>172068</v>
      </c>
      <c r="Z42" s="2">
        <v>172068</v>
      </c>
      <c r="AA42" s="51">
        <f t="shared" si="5"/>
        <v>171057.15340761104</v>
      </c>
      <c r="AB42" s="51">
        <f t="shared" si="14"/>
        <v>171057.15340761104</v>
      </c>
      <c r="AC42" s="51">
        <f t="shared" si="14"/>
        <v>171057.15340761104</v>
      </c>
      <c r="AD42" s="51">
        <f t="shared" si="14"/>
        <v>171057.15340761104</v>
      </c>
      <c r="AE42" s="51">
        <f t="shared" si="14"/>
        <v>171057.15340761104</v>
      </c>
      <c r="AF42" s="51">
        <f t="shared" si="14"/>
        <v>171057.15340761104</v>
      </c>
      <c r="AG42" s="51">
        <f t="shared" si="14"/>
        <v>171057.15340761104</v>
      </c>
      <c r="AH42" s="51">
        <f t="shared" si="13"/>
        <v>171057.15340761104</v>
      </c>
      <c r="AI42" s="51">
        <f t="shared" si="13"/>
        <v>171057.15340761104</v>
      </c>
      <c r="AJ42" s="51">
        <f t="shared" si="8"/>
        <v>171057.15340761104</v>
      </c>
      <c r="AK42" s="51">
        <f t="shared" si="9"/>
        <v>171057.15340761104</v>
      </c>
    </row>
    <row r="43" spans="1:37" x14ac:dyDescent="0.2">
      <c r="A43" s="3">
        <v>1980</v>
      </c>
      <c r="B43" s="3">
        <v>1</v>
      </c>
      <c r="C43" s="2">
        <v>264158</v>
      </c>
      <c r="D43" s="2">
        <v>264158</v>
      </c>
      <c r="E43" s="2">
        <v>264158</v>
      </c>
      <c r="F43" s="2">
        <v>264158</v>
      </c>
      <c r="G43" s="2">
        <v>264158</v>
      </c>
      <c r="H43" s="2">
        <v>264158</v>
      </c>
      <c r="I43" s="2">
        <v>264158</v>
      </c>
      <c r="J43" s="51">
        <f t="shared" si="15"/>
        <v>332327.40666718007</v>
      </c>
      <c r="K43" s="51">
        <f t="shared" si="16"/>
        <v>337952.4453506865</v>
      </c>
      <c r="L43" s="51">
        <f t="shared" si="17"/>
        <v>337952.4453506865</v>
      </c>
      <c r="M43" s="51">
        <f t="shared" si="3"/>
        <v>340295.06080826645</v>
      </c>
      <c r="N43" s="51">
        <f t="shared" ref="N43:Q50" si="18">$M43</f>
        <v>340295.06080826645</v>
      </c>
      <c r="O43" s="51">
        <f t="shared" si="18"/>
        <v>340295.06080826645</v>
      </c>
      <c r="P43" s="51">
        <f t="shared" si="18"/>
        <v>340295.06080826645</v>
      </c>
      <c r="Q43" s="51">
        <f t="shared" si="18"/>
        <v>340295.06080826645</v>
      </c>
      <c r="R43" s="2">
        <v>334539</v>
      </c>
      <c r="S43" s="2">
        <v>334539</v>
      </c>
      <c r="T43" s="2">
        <v>334539</v>
      </c>
      <c r="U43" s="2">
        <v>334539</v>
      </c>
      <c r="V43" s="2">
        <v>172775</v>
      </c>
      <c r="W43" s="2">
        <v>172775</v>
      </c>
      <c r="X43" s="2">
        <v>172775</v>
      </c>
      <c r="Y43" s="2">
        <v>172775</v>
      </c>
      <c r="Z43" s="2">
        <v>172775</v>
      </c>
      <c r="AA43" s="2">
        <v>171760</v>
      </c>
      <c r="AB43" s="2">
        <v>171760</v>
      </c>
      <c r="AC43" s="2">
        <v>171760</v>
      </c>
      <c r="AD43" s="2">
        <v>171760</v>
      </c>
      <c r="AE43" s="2">
        <v>171760</v>
      </c>
      <c r="AF43" s="2">
        <v>171760</v>
      </c>
      <c r="AG43" s="2">
        <v>171760</v>
      </c>
      <c r="AH43" s="2">
        <f t="shared" ref="AH43:AH74" si="19">AG43</f>
        <v>171760</v>
      </c>
      <c r="AI43" s="2">
        <v>171760</v>
      </c>
      <c r="AJ43" s="2">
        <v>171760</v>
      </c>
      <c r="AK43" s="2">
        <v>171760</v>
      </c>
    </row>
    <row r="44" spans="1:37" x14ac:dyDescent="0.2">
      <c r="A44" s="3">
        <v>1980</v>
      </c>
      <c r="B44" s="3">
        <v>2</v>
      </c>
      <c r="C44" s="2">
        <v>263883</v>
      </c>
      <c r="D44" s="2">
        <v>263883</v>
      </c>
      <c r="E44" s="2">
        <v>263883</v>
      </c>
      <c r="F44" s="2">
        <v>263883</v>
      </c>
      <c r="G44" s="2">
        <v>263883</v>
      </c>
      <c r="H44" s="2">
        <v>263883</v>
      </c>
      <c r="I44" s="2">
        <v>263883</v>
      </c>
      <c r="J44" s="51">
        <f t="shared" si="15"/>
        <v>331981.4393414376</v>
      </c>
      <c r="K44" s="51">
        <f t="shared" si="16"/>
        <v>337600.6221143225</v>
      </c>
      <c r="L44" s="51">
        <f t="shared" si="17"/>
        <v>337600.6221143225</v>
      </c>
      <c r="M44" s="51">
        <f t="shared" si="3"/>
        <v>339940.7988070313</v>
      </c>
      <c r="N44" s="51">
        <f t="shared" si="18"/>
        <v>339940.7988070313</v>
      </c>
      <c r="O44" s="51">
        <f t="shared" si="18"/>
        <v>339940.7988070313</v>
      </c>
      <c r="P44" s="51">
        <f t="shared" si="18"/>
        <v>339940.7988070313</v>
      </c>
      <c r="Q44" s="51">
        <f t="shared" si="18"/>
        <v>339940.7988070313</v>
      </c>
      <c r="R44" s="2">
        <v>335243</v>
      </c>
      <c r="S44" s="2">
        <v>335243</v>
      </c>
      <c r="T44" s="2">
        <v>335243</v>
      </c>
      <c r="U44" s="2">
        <v>335243</v>
      </c>
      <c r="V44" s="2">
        <v>173139</v>
      </c>
      <c r="W44" s="2">
        <v>173139</v>
      </c>
      <c r="X44" s="2">
        <v>173139</v>
      </c>
      <c r="Y44" s="2">
        <v>173139</v>
      </c>
      <c r="Z44" s="2">
        <v>173139</v>
      </c>
      <c r="AA44" s="2">
        <v>173093</v>
      </c>
      <c r="AB44" s="2">
        <v>173093</v>
      </c>
      <c r="AC44" s="2">
        <v>173093</v>
      </c>
      <c r="AD44" s="2">
        <v>173093</v>
      </c>
      <c r="AE44" s="2">
        <v>173093</v>
      </c>
      <c r="AF44" s="2">
        <v>173093</v>
      </c>
      <c r="AG44" s="2">
        <v>173093</v>
      </c>
      <c r="AH44" s="2">
        <f t="shared" si="19"/>
        <v>173093</v>
      </c>
      <c r="AI44" s="2">
        <v>173093</v>
      </c>
      <c r="AJ44" s="2">
        <v>173093</v>
      </c>
      <c r="AK44" s="2">
        <v>173093</v>
      </c>
    </row>
    <row r="45" spans="1:37" x14ac:dyDescent="0.2">
      <c r="A45" s="3">
        <v>1980</v>
      </c>
      <c r="B45" s="3">
        <v>3</v>
      </c>
      <c r="C45" s="2">
        <v>261165</v>
      </c>
      <c r="D45" s="2">
        <v>261165</v>
      </c>
      <c r="E45" s="2">
        <v>261165</v>
      </c>
      <c r="F45" s="2">
        <v>261165</v>
      </c>
      <c r="G45" s="2">
        <v>261165</v>
      </c>
      <c r="H45" s="2">
        <v>261165</v>
      </c>
      <c r="I45" s="2">
        <v>261165</v>
      </c>
      <c r="J45" s="51">
        <f t="shared" si="15"/>
        <v>328562.02410009952</v>
      </c>
      <c r="K45" s="51">
        <f t="shared" si="16"/>
        <v>334123.32918182318</v>
      </c>
      <c r="L45" s="51">
        <f t="shared" si="17"/>
        <v>334123.32918182318</v>
      </c>
      <c r="M45" s="51">
        <f t="shared" si="3"/>
        <v>336439.40200936905</v>
      </c>
      <c r="N45" s="51">
        <f t="shared" si="18"/>
        <v>336439.40200936905</v>
      </c>
      <c r="O45" s="51">
        <f t="shared" si="18"/>
        <v>336439.40200936905</v>
      </c>
      <c r="P45" s="51">
        <f t="shared" si="18"/>
        <v>336439.40200936905</v>
      </c>
      <c r="Q45" s="51">
        <f t="shared" si="18"/>
        <v>336439.40200936905</v>
      </c>
      <c r="R45" s="2">
        <v>334707</v>
      </c>
      <c r="S45" s="2">
        <v>334707</v>
      </c>
      <c r="T45" s="2">
        <v>334707</v>
      </c>
      <c r="U45" s="2">
        <v>334707</v>
      </c>
      <c r="V45" s="2">
        <v>172862</v>
      </c>
      <c r="W45" s="2">
        <v>172862</v>
      </c>
      <c r="X45" s="2">
        <v>172862</v>
      </c>
      <c r="Y45" s="2">
        <v>172862</v>
      </c>
      <c r="Z45" s="2">
        <v>172862</v>
      </c>
      <c r="AA45" s="2">
        <v>173238</v>
      </c>
      <c r="AB45" s="2">
        <v>173238</v>
      </c>
      <c r="AC45" s="2">
        <v>173238</v>
      </c>
      <c r="AD45" s="2">
        <v>173238</v>
      </c>
      <c r="AE45" s="2">
        <v>173238</v>
      </c>
      <c r="AF45" s="2">
        <v>173238</v>
      </c>
      <c r="AG45" s="2">
        <v>173238</v>
      </c>
      <c r="AH45" s="2">
        <f t="shared" si="19"/>
        <v>173238</v>
      </c>
      <c r="AI45" s="2">
        <v>173238</v>
      </c>
      <c r="AJ45" s="2">
        <v>173238</v>
      </c>
      <c r="AK45" s="2">
        <v>173238</v>
      </c>
    </row>
    <row r="46" spans="1:37" x14ac:dyDescent="0.2">
      <c r="A46" s="3">
        <v>1980</v>
      </c>
      <c r="B46" s="3">
        <v>4</v>
      </c>
      <c r="C46" s="2">
        <v>261835</v>
      </c>
      <c r="D46" s="2">
        <v>261835</v>
      </c>
      <c r="E46" s="2">
        <v>261835</v>
      </c>
      <c r="F46" s="2">
        <v>261835</v>
      </c>
      <c r="G46" s="2">
        <v>261835</v>
      </c>
      <c r="H46" s="2">
        <v>261835</v>
      </c>
      <c r="I46" s="2">
        <v>261835</v>
      </c>
      <c r="J46" s="51">
        <f t="shared" si="15"/>
        <v>329404.92631190841</v>
      </c>
      <c r="K46" s="51">
        <f t="shared" si="16"/>
        <v>334980.49852132815</v>
      </c>
      <c r="L46" s="51">
        <f t="shared" si="17"/>
        <v>334980.49852132815</v>
      </c>
      <c r="M46" s="51">
        <f t="shared" si="3"/>
        <v>337302.51306692377</v>
      </c>
      <c r="N46" s="51">
        <f t="shared" si="18"/>
        <v>337302.51306692377</v>
      </c>
      <c r="O46" s="51">
        <f t="shared" si="18"/>
        <v>337302.51306692377</v>
      </c>
      <c r="P46" s="51">
        <f t="shared" si="18"/>
        <v>337302.51306692377</v>
      </c>
      <c r="Q46" s="51">
        <f t="shared" si="18"/>
        <v>337302.51306692377</v>
      </c>
      <c r="R46" s="2">
        <v>336905</v>
      </c>
      <c r="S46" s="2">
        <v>336905</v>
      </c>
      <c r="T46" s="2">
        <v>336905</v>
      </c>
      <c r="U46" s="2">
        <v>336905</v>
      </c>
      <c r="V46" s="2">
        <v>173997</v>
      </c>
      <c r="W46" s="2">
        <v>173997</v>
      </c>
      <c r="X46" s="2">
        <v>173997</v>
      </c>
      <c r="Y46" s="2">
        <v>173997</v>
      </c>
      <c r="Z46" s="2">
        <v>173997</v>
      </c>
      <c r="AA46" s="2">
        <v>174714</v>
      </c>
      <c r="AB46" s="2">
        <v>174714</v>
      </c>
      <c r="AC46" s="2">
        <v>174714</v>
      </c>
      <c r="AD46" s="2">
        <v>174714</v>
      </c>
      <c r="AE46" s="2">
        <v>174714</v>
      </c>
      <c r="AF46" s="2">
        <v>174714</v>
      </c>
      <c r="AG46" s="2">
        <v>174714</v>
      </c>
      <c r="AH46" s="2">
        <f t="shared" si="19"/>
        <v>174714</v>
      </c>
      <c r="AI46" s="2">
        <v>174714</v>
      </c>
      <c r="AJ46" s="2">
        <v>174714</v>
      </c>
      <c r="AK46" s="2">
        <v>174714</v>
      </c>
    </row>
    <row r="47" spans="1:37" x14ac:dyDescent="0.2">
      <c r="A47" s="3">
        <v>1981</v>
      </c>
      <c r="B47" s="3">
        <v>1</v>
      </c>
      <c r="C47" s="2">
        <v>261412</v>
      </c>
      <c r="D47" s="2">
        <v>261412</v>
      </c>
      <c r="E47" s="2">
        <v>261412</v>
      </c>
      <c r="F47" s="2">
        <v>261412</v>
      </c>
      <c r="G47" s="2">
        <v>261412</v>
      </c>
      <c r="H47" s="2">
        <v>261412</v>
      </c>
      <c r="I47" s="2">
        <v>261412</v>
      </c>
      <c r="J47" s="51">
        <f t="shared" si="15"/>
        <v>328872.76566176635</v>
      </c>
      <c r="K47" s="51">
        <f t="shared" si="16"/>
        <v>334439.33041593916</v>
      </c>
      <c r="L47" s="51">
        <f t="shared" si="17"/>
        <v>334439.33041593916</v>
      </c>
      <c r="M47" s="51">
        <f t="shared" si="3"/>
        <v>336757.59369775112</v>
      </c>
      <c r="N47" s="51">
        <f t="shared" si="18"/>
        <v>336757.59369775112</v>
      </c>
      <c r="O47" s="51">
        <f t="shared" si="18"/>
        <v>336757.59369775112</v>
      </c>
      <c r="P47" s="51">
        <f t="shared" si="18"/>
        <v>336757.59369775112</v>
      </c>
      <c r="Q47" s="51">
        <f t="shared" si="18"/>
        <v>336757.59369775112</v>
      </c>
      <c r="R47" s="2">
        <v>336436</v>
      </c>
      <c r="S47" s="2">
        <v>336436</v>
      </c>
      <c r="T47" s="2">
        <v>336436</v>
      </c>
      <c r="U47" s="2">
        <v>336436</v>
      </c>
      <c r="V47" s="2">
        <v>173755</v>
      </c>
      <c r="W47" s="2">
        <v>173755</v>
      </c>
      <c r="X47" s="2">
        <v>173755</v>
      </c>
      <c r="Y47" s="2">
        <v>173755</v>
      </c>
      <c r="Z47" s="2">
        <v>173755</v>
      </c>
      <c r="AA47" s="2">
        <v>174147</v>
      </c>
      <c r="AB47" s="2">
        <v>174147</v>
      </c>
      <c r="AC47" s="2">
        <v>174147</v>
      </c>
      <c r="AD47" s="2">
        <v>174147</v>
      </c>
      <c r="AE47" s="2">
        <v>174147</v>
      </c>
      <c r="AF47" s="2">
        <v>174147</v>
      </c>
      <c r="AG47" s="2">
        <v>174147</v>
      </c>
      <c r="AH47" s="2">
        <f t="shared" si="19"/>
        <v>174147</v>
      </c>
      <c r="AI47" s="2">
        <v>174147</v>
      </c>
      <c r="AJ47" s="2">
        <v>174147</v>
      </c>
      <c r="AK47" s="2">
        <v>174147</v>
      </c>
    </row>
    <row r="48" spans="1:37" x14ac:dyDescent="0.2">
      <c r="A48" s="3">
        <v>1981</v>
      </c>
      <c r="B48" s="3">
        <v>2</v>
      </c>
      <c r="C48" s="2">
        <v>264612</v>
      </c>
      <c r="D48" s="2">
        <v>264612</v>
      </c>
      <c r="E48" s="2">
        <v>264612</v>
      </c>
      <c r="F48" s="2">
        <v>264612</v>
      </c>
      <c r="G48" s="2">
        <v>264612</v>
      </c>
      <c r="H48" s="2">
        <v>264612</v>
      </c>
      <c r="I48" s="2">
        <v>264612</v>
      </c>
      <c r="J48" s="51">
        <f t="shared" si="15"/>
        <v>332898.56727040577</v>
      </c>
      <c r="K48" s="51">
        <f t="shared" si="16"/>
        <v>338533.27352999285</v>
      </c>
      <c r="L48" s="51">
        <f t="shared" si="17"/>
        <v>338533.27352999285</v>
      </c>
      <c r="M48" s="51">
        <f t="shared" si="3"/>
        <v>340879.91516666918</v>
      </c>
      <c r="N48" s="51">
        <f t="shared" si="18"/>
        <v>340879.91516666918</v>
      </c>
      <c r="O48" s="51">
        <f t="shared" si="18"/>
        <v>340879.91516666918</v>
      </c>
      <c r="P48" s="51">
        <f t="shared" si="18"/>
        <v>340879.91516666918</v>
      </c>
      <c r="Q48" s="51">
        <f t="shared" si="18"/>
        <v>340879.91516666918</v>
      </c>
      <c r="R48" s="2">
        <v>338745</v>
      </c>
      <c r="S48" s="2">
        <v>338745</v>
      </c>
      <c r="T48" s="2">
        <v>338745</v>
      </c>
      <c r="U48" s="2">
        <v>338745</v>
      </c>
      <c r="V48" s="2">
        <v>174947</v>
      </c>
      <c r="W48" s="2">
        <v>174947</v>
      </c>
      <c r="X48" s="2">
        <v>174947</v>
      </c>
      <c r="Y48" s="2">
        <v>174947</v>
      </c>
      <c r="Z48" s="2">
        <v>174947</v>
      </c>
      <c r="AA48" s="2">
        <v>174209</v>
      </c>
      <c r="AB48" s="2">
        <v>174209</v>
      </c>
      <c r="AC48" s="2">
        <v>174209</v>
      </c>
      <c r="AD48" s="2">
        <v>174209</v>
      </c>
      <c r="AE48" s="2">
        <v>174209</v>
      </c>
      <c r="AF48" s="2">
        <v>174209</v>
      </c>
      <c r="AG48" s="2">
        <v>174209</v>
      </c>
      <c r="AH48" s="2">
        <f t="shared" si="19"/>
        <v>174209</v>
      </c>
      <c r="AI48" s="2">
        <v>174209</v>
      </c>
      <c r="AJ48" s="2">
        <v>174209</v>
      </c>
      <c r="AK48" s="2">
        <v>174209</v>
      </c>
    </row>
    <row r="49" spans="1:37" x14ac:dyDescent="0.2">
      <c r="A49" s="3">
        <v>1981</v>
      </c>
      <c r="B49" s="3">
        <v>3</v>
      </c>
      <c r="C49" s="2">
        <v>264836</v>
      </c>
      <c r="D49" s="2">
        <v>264836</v>
      </c>
      <c r="E49" s="2">
        <v>264836</v>
      </c>
      <c r="F49" s="2">
        <v>264836</v>
      </c>
      <c r="G49" s="2">
        <v>264836</v>
      </c>
      <c r="H49" s="2">
        <v>264836</v>
      </c>
      <c r="I49" s="2">
        <v>264836</v>
      </c>
      <c r="J49" s="51">
        <f t="shared" si="15"/>
        <v>333180.37338301056</v>
      </c>
      <c r="K49" s="51">
        <f t="shared" si="16"/>
        <v>338819.84954797663</v>
      </c>
      <c r="L49" s="51">
        <f t="shared" si="17"/>
        <v>338819.84954797663</v>
      </c>
      <c r="M49" s="51">
        <f t="shared" si="3"/>
        <v>341168.47766949347</v>
      </c>
      <c r="N49" s="51">
        <f t="shared" si="18"/>
        <v>341168.47766949347</v>
      </c>
      <c r="O49" s="51">
        <f t="shared" si="18"/>
        <v>341168.47766949347</v>
      </c>
      <c r="P49" s="51">
        <f t="shared" si="18"/>
        <v>341168.47766949347</v>
      </c>
      <c r="Q49" s="51">
        <f t="shared" si="18"/>
        <v>341168.47766949347</v>
      </c>
      <c r="R49" s="2">
        <v>337087</v>
      </c>
      <c r="S49" s="2">
        <v>337087</v>
      </c>
      <c r="T49" s="2">
        <v>337087</v>
      </c>
      <c r="U49" s="2">
        <v>337087</v>
      </c>
      <c r="V49" s="2">
        <v>174091</v>
      </c>
      <c r="W49" s="2">
        <v>174091</v>
      </c>
      <c r="X49" s="2">
        <v>174091</v>
      </c>
      <c r="Y49" s="2">
        <v>174091</v>
      </c>
      <c r="Z49" s="2">
        <v>174091</v>
      </c>
      <c r="AA49" s="2">
        <v>173586</v>
      </c>
      <c r="AB49" s="2">
        <v>173586</v>
      </c>
      <c r="AC49" s="2">
        <v>173586</v>
      </c>
      <c r="AD49" s="2">
        <v>173586</v>
      </c>
      <c r="AE49" s="2">
        <v>173586</v>
      </c>
      <c r="AF49" s="2">
        <v>173586</v>
      </c>
      <c r="AG49" s="2">
        <v>173586</v>
      </c>
      <c r="AH49" s="2">
        <f t="shared" si="19"/>
        <v>173586</v>
      </c>
      <c r="AI49" s="2">
        <v>173586</v>
      </c>
      <c r="AJ49" s="2">
        <v>173586</v>
      </c>
      <c r="AK49" s="2">
        <v>173586</v>
      </c>
    </row>
    <row r="50" spans="1:37" x14ac:dyDescent="0.2">
      <c r="A50" s="3">
        <v>1981</v>
      </c>
      <c r="B50" s="3">
        <v>4</v>
      </c>
      <c r="C50" s="2">
        <v>265163</v>
      </c>
      <c r="D50" s="2">
        <v>265163</v>
      </c>
      <c r="E50" s="2">
        <v>265163</v>
      </c>
      <c r="F50" s="2">
        <v>265163</v>
      </c>
      <c r="G50" s="2">
        <v>265163</v>
      </c>
      <c r="H50" s="2">
        <v>265163</v>
      </c>
      <c r="I50" s="2">
        <v>265163</v>
      </c>
      <c r="J50" s="51">
        <f t="shared" si="15"/>
        <v>333591.75998489338</v>
      </c>
      <c r="K50" s="51">
        <f t="shared" si="16"/>
        <v>339238.19935994397</v>
      </c>
      <c r="L50" s="51">
        <f t="shared" si="17"/>
        <v>339238.19935994397</v>
      </c>
      <c r="M50" s="51">
        <f t="shared" si="3"/>
        <v>341589.72739459848</v>
      </c>
      <c r="N50" s="51">
        <f t="shared" si="18"/>
        <v>341589.72739459848</v>
      </c>
      <c r="O50" s="51">
        <f t="shared" si="18"/>
        <v>341589.72739459848</v>
      </c>
      <c r="P50" s="51">
        <f t="shared" si="18"/>
        <v>341589.72739459848</v>
      </c>
      <c r="Q50" s="51">
        <f t="shared" si="18"/>
        <v>341589.72739459848</v>
      </c>
      <c r="R50" s="2">
        <v>339600</v>
      </c>
      <c r="S50" s="2">
        <v>339600</v>
      </c>
      <c r="T50" s="2">
        <v>339600</v>
      </c>
      <c r="U50" s="2">
        <v>339600</v>
      </c>
      <c r="V50" s="2">
        <v>175389</v>
      </c>
      <c r="W50" s="2">
        <v>175389</v>
      </c>
      <c r="X50" s="2">
        <v>175389</v>
      </c>
      <c r="Y50" s="2">
        <v>175389</v>
      </c>
      <c r="Z50" s="2">
        <v>175389</v>
      </c>
      <c r="AA50" s="2">
        <v>175520</v>
      </c>
      <c r="AB50" s="2">
        <v>175520</v>
      </c>
      <c r="AC50" s="2">
        <v>175520</v>
      </c>
      <c r="AD50" s="2">
        <v>175520</v>
      </c>
      <c r="AE50" s="2">
        <v>175520</v>
      </c>
      <c r="AF50" s="2">
        <v>175520</v>
      </c>
      <c r="AG50" s="2">
        <v>175520</v>
      </c>
      <c r="AH50" s="2">
        <f t="shared" si="19"/>
        <v>175520</v>
      </c>
      <c r="AI50" s="2">
        <v>175520</v>
      </c>
      <c r="AJ50" s="2">
        <v>175520</v>
      </c>
      <c r="AK50" s="2">
        <v>175520</v>
      </c>
    </row>
    <row r="51" spans="1:37" x14ac:dyDescent="0.2">
      <c r="A51" s="3">
        <v>1982</v>
      </c>
      <c r="B51" s="3">
        <v>1</v>
      </c>
      <c r="C51" s="2">
        <v>265556</v>
      </c>
      <c r="D51" s="2">
        <v>265556</v>
      </c>
      <c r="E51" s="2">
        <v>265556</v>
      </c>
      <c r="F51" s="2">
        <v>265556</v>
      </c>
      <c r="G51" s="2">
        <v>265556</v>
      </c>
      <c r="H51" s="2">
        <v>265556</v>
      </c>
      <c r="I51" s="2">
        <v>265556</v>
      </c>
      <c r="J51" s="51">
        <f t="shared" si="15"/>
        <v>334086.17874495441</v>
      </c>
      <c r="K51" s="51">
        <f t="shared" si="16"/>
        <v>339740.98674863868</v>
      </c>
      <c r="L51" s="51">
        <f t="shared" si="17"/>
        <v>339740.98674863868</v>
      </c>
      <c r="M51" s="2">
        <v>342096</v>
      </c>
      <c r="N51" s="2">
        <v>342096</v>
      </c>
      <c r="O51" s="2">
        <v>342096</v>
      </c>
      <c r="P51" s="2">
        <v>342096</v>
      </c>
      <c r="Q51" s="2">
        <v>342096</v>
      </c>
      <c r="R51" s="2">
        <v>340407</v>
      </c>
      <c r="S51" s="2">
        <v>340407</v>
      </c>
      <c r="T51" s="2">
        <v>340407</v>
      </c>
      <c r="U51" s="2">
        <v>340407</v>
      </c>
      <c r="V51" s="2">
        <v>175806</v>
      </c>
      <c r="W51" s="2">
        <v>175806</v>
      </c>
      <c r="X51" s="2">
        <v>175806</v>
      </c>
      <c r="Y51" s="2">
        <v>175806</v>
      </c>
      <c r="Z51" s="2">
        <v>175806</v>
      </c>
      <c r="AA51" s="2">
        <v>176774</v>
      </c>
      <c r="AB51" s="2">
        <v>176774</v>
      </c>
      <c r="AC51" s="2">
        <v>176774</v>
      </c>
      <c r="AD51" s="2">
        <v>176774</v>
      </c>
      <c r="AE51" s="2">
        <v>176774</v>
      </c>
      <c r="AF51" s="2">
        <v>176774</v>
      </c>
      <c r="AG51" s="2">
        <v>176774</v>
      </c>
      <c r="AH51" s="2">
        <f t="shared" si="19"/>
        <v>176774</v>
      </c>
      <c r="AI51" s="2">
        <v>176774</v>
      </c>
      <c r="AJ51" s="2">
        <v>176774</v>
      </c>
      <c r="AK51" s="2">
        <v>176774</v>
      </c>
    </row>
    <row r="52" spans="1:37" x14ac:dyDescent="0.2">
      <c r="A52" s="3">
        <v>1982</v>
      </c>
      <c r="B52" s="3">
        <v>2</v>
      </c>
      <c r="C52" s="2">
        <v>266214</v>
      </c>
      <c r="D52" s="2">
        <v>266214</v>
      </c>
      <c r="E52" s="2">
        <v>266214</v>
      </c>
      <c r="F52" s="2">
        <v>266214</v>
      </c>
      <c r="G52" s="2">
        <v>266214</v>
      </c>
      <c r="H52" s="2">
        <v>266214</v>
      </c>
      <c r="I52" s="2">
        <v>266214</v>
      </c>
      <c r="J52" s="51">
        <f t="shared" si="15"/>
        <v>334913.98420073092</v>
      </c>
      <c r="K52" s="51">
        <f t="shared" si="16"/>
        <v>340582.80380146601</v>
      </c>
      <c r="L52" s="51">
        <f t="shared" si="17"/>
        <v>340582.80380146601</v>
      </c>
      <c r="M52" s="2">
        <v>340584</v>
      </c>
      <c r="N52" s="2">
        <v>340584</v>
      </c>
      <c r="O52" s="2">
        <v>340584</v>
      </c>
      <c r="P52" s="2">
        <v>340584</v>
      </c>
      <c r="Q52" s="2">
        <v>340584</v>
      </c>
      <c r="R52" s="2">
        <v>340275</v>
      </c>
      <c r="S52" s="2">
        <v>340275</v>
      </c>
      <c r="T52" s="2">
        <v>340275</v>
      </c>
      <c r="U52" s="2">
        <v>340275</v>
      </c>
      <c r="V52" s="2">
        <v>175737</v>
      </c>
      <c r="W52" s="2">
        <v>175737</v>
      </c>
      <c r="X52" s="2">
        <v>175737</v>
      </c>
      <c r="Y52" s="2">
        <v>175737</v>
      </c>
      <c r="Z52" s="2">
        <v>175737</v>
      </c>
      <c r="AA52" s="2">
        <v>176023</v>
      </c>
      <c r="AB52" s="2">
        <v>176023</v>
      </c>
      <c r="AC52" s="2">
        <v>176023</v>
      </c>
      <c r="AD52" s="2">
        <v>176023</v>
      </c>
      <c r="AE52" s="2">
        <v>176023</v>
      </c>
      <c r="AF52" s="2">
        <v>176023</v>
      </c>
      <c r="AG52" s="2">
        <v>176023</v>
      </c>
      <c r="AH52" s="2">
        <f t="shared" si="19"/>
        <v>176023</v>
      </c>
      <c r="AI52" s="2">
        <v>176023</v>
      </c>
      <c r="AJ52" s="2">
        <v>176023</v>
      </c>
      <c r="AK52" s="2">
        <v>176023</v>
      </c>
    </row>
    <row r="53" spans="1:37" x14ac:dyDescent="0.2">
      <c r="A53" s="3">
        <v>1982</v>
      </c>
      <c r="B53" s="3">
        <v>3</v>
      </c>
      <c r="C53" s="2">
        <v>264634</v>
      </c>
      <c r="D53" s="2">
        <v>264634</v>
      </c>
      <c r="E53" s="2">
        <v>264634</v>
      </c>
      <c r="F53" s="2">
        <v>264634</v>
      </c>
      <c r="G53" s="2">
        <v>264634</v>
      </c>
      <c r="H53" s="2">
        <v>264634</v>
      </c>
      <c r="I53" s="2">
        <v>264634</v>
      </c>
      <c r="J53" s="51">
        <f t="shared" si="15"/>
        <v>332926.24465646519</v>
      </c>
      <c r="K53" s="51">
        <f t="shared" si="16"/>
        <v>338561.41938890197</v>
      </c>
      <c r="L53" s="51">
        <f t="shared" si="17"/>
        <v>338561.41938890197</v>
      </c>
      <c r="M53" s="2">
        <v>338808</v>
      </c>
      <c r="N53" s="2">
        <v>338808</v>
      </c>
      <c r="O53" s="2">
        <v>338808</v>
      </c>
      <c r="P53" s="2">
        <v>338808</v>
      </c>
      <c r="Q53" s="2">
        <v>338808</v>
      </c>
      <c r="R53" s="2">
        <v>339761</v>
      </c>
      <c r="S53" s="2">
        <v>339761</v>
      </c>
      <c r="T53" s="2">
        <v>339761</v>
      </c>
      <c r="U53" s="2">
        <v>339761</v>
      </c>
      <c r="V53" s="2">
        <v>175472</v>
      </c>
      <c r="W53" s="2">
        <v>175472</v>
      </c>
      <c r="X53" s="2">
        <v>175472</v>
      </c>
      <c r="Y53" s="2">
        <v>175472</v>
      </c>
      <c r="Z53" s="2">
        <v>175472</v>
      </c>
      <c r="AA53" s="2">
        <v>174714</v>
      </c>
      <c r="AB53" s="2">
        <v>174714</v>
      </c>
      <c r="AC53" s="2">
        <v>174714</v>
      </c>
      <c r="AD53" s="2">
        <v>174714</v>
      </c>
      <c r="AE53" s="2">
        <v>174714</v>
      </c>
      <c r="AF53" s="2">
        <v>174714</v>
      </c>
      <c r="AG53" s="2">
        <v>174714</v>
      </c>
      <c r="AH53" s="2">
        <f t="shared" si="19"/>
        <v>174714</v>
      </c>
      <c r="AI53" s="2">
        <v>174714</v>
      </c>
      <c r="AJ53" s="2">
        <v>174714</v>
      </c>
      <c r="AK53" s="2">
        <v>174714</v>
      </c>
    </row>
    <row r="54" spans="1:37" x14ac:dyDescent="0.2">
      <c r="A54" s="3">
        <v>1982</v>
      </c>
      <c r="B54" s="3">
        <v>4</v>
      </c>
      <c r="C54" s="2">
        <v>264456</v>
      </c>
      <c r="D54" s="2">
        <v>264456</v>
      </c>
      <c r="E54" s="2">
        <v>264456</v>
      </c>
      <c r="F54" s="2">
        <v>264456</v>
      </c>
      <c r="G54" s="2">
        <v>264456</v>
      </c>
      <c r="H54" s="2">
        <v>264456</v>
      </c>
      <c r="I54" s="2">
        <v>264456</v>
      </c>
      <c r="J54" s="51">
        <f t="shared" si="15"/>
        <v>332702.30944198463</v>
      </c>
      <c r="K54" s="51">
        <f t="shared" si="16"/>
        <v>338333.69380318274</v>
      </c>
      <c r="L54" s="51">
        <f t="shared" si="17"/>
        <v>338333.69380318274</v>
      </c>
      <c r="M54" s="2">
        <v>338911</v>
      </c>
      <c r="N54" s="2">
        <v>338911</v>
      </c>
      <c r="O54" s="2">
        <v>338911</v>
      </c>
      <c r="P54" s="2">
        <v>338911</v>
      </c>
      <c r="Q54" s="2">
        <v>338911</v>
      </c>
      <c r="R54" s="2">
        <v>339956</v>
      </c>
      <c r="S54" s="2">
        <v>339956</v>
      </c>
      <c r="T54" s="2">
        <v>339956</v>
      </c>
      <c r="U54" s="2">
        <v>339956</v>
      </c>
      <c r="V54" s="2">
        <v>175573</v>
      </c>
      <c r="W54" s="2">
        <v>175573</v>
      </c>
      <c r="X54" s="2">
        <v>175573</v>
      </c>
      <c r="Y54" s="2">
        <v>175573</v>
      </c>
      <c r="Z54" s="2">
        <v>175573</v>
      </c>
      <c r="AA54" s="2">
        <v>174288</v>
      </c>
      <c r="AB54" s="2">
        <v>174288</v>
      </c>
      <c r="AC54" s="2">
        <v>174288</v>
      </c>
      <c r="AD54" s="2">
        <v>174288</v>
      </c>
      <c r="AE54" s="2">
        <v>174288</v>
      </c>
      <c r="AF54" s="2">
        <v>174288</v>
      </c>
      <c r="AG54" s="2">
        <v>174288</v>
      </c>
      <c r="AH54" s="2">
        <f t="shared" si="19"/>
        <v>174288</v>
      </c>
      <c r="AI54" s="2">
        <v>174288</v>
      </c>
      <c r="AJ54" s="2">
        <v>174288</v>
      </c>
      <c r="AK54" s="2">
        <v>174288</v>
      </c>
    </row>
    <row r="55" spans="1:37" x14ac:dyDescent="0.2">
      <c r="A55" s="3">
        <v>1983</v>
      </c>
      <c r="B55" s="3">
        <v>1</v>
      </c>
      <c r="C55" s="2">
        <v>265661</v>
      </c>
      <c r="D55" s="2">
        <v>265661</v>
      </c>
      <c r="E55" s="2">
        <v>265661</v>
      </c>
      <c r="F55" s="2">
        <v>265661</v>
      </c>
      <c r="G55" s="2">
        <v>265661</v>
      </c>
      <c r="H55" s="2">
        <v>265661</v>
      </c>
      <c r="I55" s="2">
        <v>265661</v>
      </c>
      <c r="J55" s="51">
        <f t="shared" si="15"/>
        <v>334218.27536023792</v>
      </c>
      <c r="K55" s="51">
        <f t="shared" si="16"/>
        <v>339875.31925706862</v>
      </c>
      <c r="L55" s="51">
        <f t="shared" si="17"/>
        <v>339875.31925706862</v>
      </c>
      <c r="M55" s="2">
        <v>340309</v>
      </c>
      <c r="N55" s="2">
        <v>340309</v>
      </c>
      <c r="O55" s="2">
        <v>340309</v>
      </c>
      <c r="P55" s="2">
        <v>340309</v>
      </c>
      <c r="Q55" s="2">
        <v>340309</v>
      </c>
      <c r="R55" s="2">
        <v>342196</v>
      </c>
      <c r="S55" s="2">
        <v>342196</v>
      </c>
      <c r="T55" s="2">
        <v>342196</v>
      </c>
      <c r="U55" s="2">
        <v>342196</v>
      </c>
      <c r="V55" s="2">
        <v>176730</v>
      </c>
      <c r="W55" s="2">
        <v>176730</v>
      </c>
      <c r="X55" s="2">
        <v>176730</v>
      </c>
      <c r="Y55" s="2">
        <v>176730</v>
      </c>
      <c r="Z55" s="2">
        <v>176730</v>
      </c>
      <c r="AA55" s="2">
        <v>175969</v>
      </c>
      <c r="AB55" s="2">
        <v>175969</v>
      </c>
      <c r="AC55" s="2">
        <v>175969</v>
      </c>
      <c r="AD55" s="2">
        <v>175969</v>
      </c>
      <c r="AE55" s="2">
        <v>175969</v>
      </c>
      <c r="AF55" s="2">
        <v>175969</v>
      </c>
      <c r="AG55" s="2">
        <v>175969</v>
      </c>
      <c r="AH55" s="2">
        <f t="shared" si="19"/>
        <v>175969</v>
      </c>
      <c r="AI55" s="2">
        <v>175969</v>
      </c>
      <c r="AJ55" s="2">
        <v>175969</v>
      </c>
      <c r="AK55" s="2">
        <v>175969</v>
      </c>
    </row>
    <row r="56" spans="1:37" x14ac:dyDescent="0.2">
      <c r="A56" s="3">
        <v>1983</v>
      </c>
      <c r="B56" s="3">
        <v>2</v>
      </c>
      <c r="C56" s="2">
        <v>266849</v>
      </c>
      <c r="D56" s="2">
        <v>266849</v>
      </c>
      <c r="E56" s="2">
        <v>266849</v>
      </c>
      <c r="F56" s="2">
        <v>266849</v>
      </c>
      <c r="G56" s="2">
        <v>266849</v>
      </c>
      <c r="H56" s="2">
        <v>266849</v>
      </c>
      <c r="I56" s="2">
        <v>266849</v>
      </c>
      <c r="J56" s="51">
        <f t="shared" si="15"/>
        <v>335712.85420744529</v>
      </c>
      <c r="K56" s="51">
        <f t="shared" si="16"/>
        <v>341395.19563816104</v>
      </c>
      <c r="L56" s="51">
        <f t="shared" si="17"/>
        <v>341395.19563816104</v>
      </c>
      <c r="M56" s="2">
        <v>340915</v>
      </c>
      <c r="N56" s="2">
        <v>340915</v>
      </c>
      <c r="O56" s="2">
        <v>340915</v>
      </c>
      <c r="P56" s="2">
        <v>340915</v>
      </c>
      <c r="Q56" s="2">
        <v>340915</v>
      </c>
      <c r="R56" s="2">
        <v>341036</v>
      </c>
      <c r="S56" s="2">
        <v>341036</v>
      </c>
      <c r="T56" s="2">
        <v>341036</v>
      </c>
      <c r="U56" s="2">
        <v>341036</v>
      </c>
      <c r="V56" s="2">
        <v>176130</v>
      </c>
      <c r="W56" s="2">
        <v>176130</v>
      </c>
      <c r="X56" s="2">
        <v>176130</v>
      </c>
      <c r="Y56" s="2">
        <v>176130</v>
      </c>
      <c r="Z56" s="2">
        <v>176130</v>
      </c>
      <c r="AA56" s="2">
        <v>176049</v>
      </c>
      <c r="AB56" s="2">
        <v>176049</v>
      </c>
      <c r="AC56" s="2">
        <v>176049</v>
      </c>
      <c r="AD56" s="2">
        <v>176049</v>
      </c>
      <c r="AE56" s="2">
        <v>176049</v>
      </c>
      <c r="AF56" s="2">
        <v>176049</v>
      </c>
      <c r="AG56" s="2">
        <v>176049</v>
      </c>
      <c r="AH56" s="2">
        <f t="shared" si="19"/>
        <v>176049</v>
      </c>
      <c r="AI56" s="2">
        <v>176049</v>
      </c>
      <c r="AJ56" s="2">
        <v>176049</v>
      </c>
      <c r="AK56" s="2">
        <v>176049</v>
      </c>
    </row>
    <row r="57" spans="1:37" x14ac:dyDescent="0.2">
      <c r="A57" s="3">
        <v>1983</v>
      </c>
      <c r="B57" s="3">
        <v>3</v>
      </c>
      <c r="C57" s="2">
        <v>269003</v>
      </c>
      <c r="D57" s="2">
        <v>269003</v>
      </c>
      <c r="E57" s="2">
        <v>269003</v>
      </c>
      <c r="F57" s="2">
        <v>269003</v>
      </c>
      <c r="G57" s="2">
        <v>269003</v>
      </c>
      <c r="H57" s="2">
        <v>269003</v>
      </c>
      <c r="I57" s="2">
        <v>269003</v>
      </c>
      <c r="J57" s="51">
        <f t="shared" si="15"/>
        <v>338422.72191526071</v>
      </c>
      <c r="K57" s="51">
        <f t="shared" si="16"/>
        <v>344150.9310968084</v>
      </c>
      <c r="L57" s="51">
        <f t="shared" si="17"/>
        <v>344150.9310968084</v>
      </c>
      <c r="M57" s="2">
        <v>345446</v>
      </c>
      <c r="N57" s="2">
        <v>345446</v>
      </c>
      <c r="O57" s="2">
        <v>345446</v>
      </c>
      <c r="P57" s="2">
        <v>345446</v>
      </c>
      <c r="Q57" s="2">
        <v>345446</v>
      </c>
      <c r="R57" s="2">
        <v>344088</v>
      </c>
      <c r="S57" s="2">
        <v>344088</v>
      </c>
      <c r="T57" s="2">
        <v>344088</v>
      </c>
      <c r="U57" s="2">
        <v>344088</v>
      </c>
      <c r="V57" s="2">
        <v>177706</v>
      </c>
      <c r="W57" s="2">
        <v>177706</v>
      </c>
      <c r="X57" s="2">
        <v>177706</v>
      </c>
      <c r="Y57" s="2">
        <v>177706</v>
      </c>
      <c r="Z57" s="2">
        <v>177706</v>
      </c>
      <c r="AA57" s="2">
        <v>178110</v>
      </c>
      <c r="AB57" s="2">
        <v>178110</v>
      </c>
      <c r="AC57" s="2">
        <v>178110</v>
      </c>
      <c r="AD57" s="2">
        <v>178110</v>
      </c>
      <c r="AE57" s="2">
        <v>178110</v>
      </c>
      <c r="AF57" s="2">
        <v>178110</v>
      </c>
      <c r="AG57" s="2">
        <v>178110</v>
      </c>
      <c r="AH57" s="2">
        <f t="shared" si="19"/>
        <v>178110</v>
      </c>
      <c r="AI57" s="2">
        <v>178110</v>
      </c>
      <c r="AJ57" s="2">
        <v>178110</v>
      </c>
      <c r="AK57" s="2">
        <v>178110</v>
      </c>
    </row>
    <row r="58" spans="1:37" x14ac:dyDescent="0.2">
      <c r="A58" s="3">
        <v>1983</v>
      </c>
      <c r="B58" s="3">
        <v>4</v>
      </c>
      <c r="C58" s="2">
        <v>272270</v>
      </c>
      <c r="D58" s="2">
        <v>272270</v>
      </c>
      <c r="E58" s="2">
        <v>272270</v>
      </c>
      <c r="F58" s="2">
        <v>272270</v>
      </c>
      <c r="G58" s="2">
        <v>272270</v>
      </c>
      <c r="H58" s="2">
        <v>272270</v>
      </c>
      <c r="I58" s="2">
        <v>272270</v>
      </c>
      <c r="J58" s="51">
        <f t="shared" si="15"/>
        <v>342532.81374508102</v>
      </c>
      <c r="K58" s="51">
        <f t="shared" si="16"/>
        <v>348330.59114481258</v>
      </c>
      <c r="L58" s="51">
        <f t="shared" si="17"/>
        <v>348330.59114481258</v>
      </c>
      <c r="M58" s="2">
        <v>350550</v>
      </c>
      <c r="N58" s="2">
        <v>350550</v>
      </c>
      <c r="O58" s="2">
        <v>350550</v>
      </c>
      <c r="P58" s="2">
        <v>350550</v>
      </c>
      <c r="Q58" s="2">
        <v>350550</v>
      </c>
      <c r="R58" s="2">
        <v>349900</v>
      </c>
      <c r="S58" s="2">
        <v>349900</v>
      </c>
      <c r="T58" s="2">
        <v>349900</v>
      </c>
      <c r="U58" s="2">
        <v>349900</v>
      </c>
      <c r="V58" s="2">
        <v>180708</v>
      </c>
      <c r="W58" s="2">
        <v>180708</v>
      </c>
      <c r="X58" s="2">
        <v>180708</v>
      </c>
      <c r="Y58" s="2">
        <v>180708</v>
      </c>
      <c r="Z58" s="2">
        <v>180708</v>
      </c>
      <c r="AA58" s="2">
        <v>181297</v>
      </c>
      <c r="AB58" s="2">
        <v>181297</v>
      </c>
      <c r="AC58" s="2">
        <v>181297</v>
      </c>
      <c r="AD58" s="2">
        <v>181297</v>
      </c>
      <c r="AE58" s="2">
        <v>181297</v>
      </c>
      <c r="AF58" s="2">
        <v>181297</v>
      </c>
      <c r="AG58" s="2">
        <v>181297</v>
      </c>
      <c r="AH58" s="2">
        <f t="shared" si="19"/>
        <v>181297</v>
      </c>
      <c r="AI58" s="2">
        <v>181297</v>
      </c>
      <c r="AJ58" s="2">
        <v>181297</v>
      </c>
      <c r="AK58" s="2">
        <v>181297</v>
      </c>
    </row>
    <row r="59" spans="1:37" x14ac:dyDescent="0.2">
      <c r="A59" s="3">
        <v>1984</v>
      </c>
      <c r="B59" s="3">
        <v>1</v>
      </c>
      <c r="C59" s="2">
        <v>274999</v>
      </c>
      <c r="D59" s="2">
        <v>274999</v>
      </c>
      <c r="E59" s="2">
        <v>274999</v>
      </c>
      <c r="F59" s="2">
        <v>274999</v>
      </c>
      <c r="G59" s="2">
        <v>274999</v>
      </c>
      <c r="H59" s="2">
        <v>274999</v>
      </c>
      <c r="I59" s="2">
        <v>274999</v>
      </c>
      <c r="J59" s="51">
        <f t="shared" si="15"/>
        <v>345966.06767944887</v>
      </c>
      <c r="K59" s="51">
        <f t="shared" si="16"/>
        <v>351821.95700676658</v>
      </c>
      <c r="L59" s="51">
        <f t="shared" si="17"/>
        <v>351821.95700676658</v>
      </c>
      <c r="M59" s="2">
        <v>352498</v>
      </c>
      <c r="N59" s="2">
        <v>352498</v>
      </c>
      <c r="O59" s="2">
        <v>352498</v>
      </c>
      <c r="P59" s="2">
        <v>352498</v>
      </c>
      <c r="Q59" s="2">
        <v>352498</v>
      </c>
      <c r="R59" s="2">
        <v>353094</v>
      </c>
      <c r="S59" s="2">
        <v>353094</v>
      </c>
      <c r="T59" s="2">
        <v>353094</v>
      </c>
      <c r="U59" s="2">
        <v>353094</v>
      </c>
      <c r="V59" s="2">
        <v>182358</v>
      </c>
      <c r="W59" s="2">
        <v>182358</v>
      </c>
      <c r="X59" s="2">
        <v>182358</v>
      </c>
      <c r="Y59" s="2">
        <v>182358</v>
      </c>
      <c r="Z59" s="2">
        <v>182358</v>
      </c>
      <c r="AA59" s="2">
        <v>181858</v>
      </c>
      <c r="AB59" s="2">
        <v>181858</v>
      </c>
      <c r="AC59" s="2">
        <v>181858</v>
      </c>
      <c r="AD59" s="2">
        <v>181858</v>
      </c>
      <c r="AE59" s="2">
        <v>181858</v>
      </c>
      <c r="AF59" s="2">
        <v>181858</v>
      </c>
      <c r="AG59" s="2">
        <v>181858</v>
      </c>
      <c r="AH59" s="2">
        <f t="shared" si="19"/>
        <v>181858</v>
      </c>
      <c r="AI59" s="2">
        <v>181858</v>
      </c>
      <c r="AJ59" s="2">
        <v>181858</v>
      </c>
      <c r="AK59" s="2">
        <v>181858</v>
      </c>
    </row>
    <row r="60" spans="1:37" x14ac:dyDescent="0.2">
      <c r="A60" s="3">
        <v>1984</v>
      </c>
      <c r="B60" s="3">
        <v>2</v>
      </c>
      <c r="C60" s="2">
        <v>275127</v>
      </c>
      <c r="D60" s="2">
        <v>275127</v>
      </c>
      <c r="E60" s="2">
        <v>275127</v>
      </c>
      <c r="F60" s="2">
        <v>275127</v>
      </c>
      <c r="G60" s="2">
        <v>275127</v>
      </c>
      <c r="H60" s="2">
        <v>275127</v>
      </c>
      <c r="I60" s="2">
        <v>275127</v>
      </c>
      <c r="J60" s="51">
        <f t="shared" si="15"/>
        <v>346127.09974379442</v>
      </c>
      <c r="K60" s="51">
        <f t="shared" si="16"/>
        <v>351985.71473132866</v>
      </c>
      <c r="L60" s="51">
        <f t="shared" si="17"/>
        <v>351985.71473132866</v>
      </c>
      <c r="M60" s="2">
        <v>351158</v>
      </c>
      <c r="N60" s="2">
        <v>351158</v>
      </c>
      <c r="O60" s="2">
        <v>351158</v>
      </c>
      <c r="P60" s="2">
        <v>351158</v>
      </c>
      <c r="Q60" s="2">
        <v>351158</v>
      </c>
      <c r="R60" s="2">
        <v>352450</v>
      </c>
      <c r="S60" s="2">
        <v>352450</v>
      </c>
      <c r="T60" s="2">
        <v>352450</v>
      </c>
      <c r="U60" s="2">
        <v>352450</v>
      </c>
      <c r="V60" s="2">
        <v>182025</v>
      </c>
      <c r="W60" s="2">
        <v>182025</v>
      </c>
      <c r="X60" s="2">
        <v>182025</v>
      </c>
      <c r="Y60" s="2">
        <v>182025</v>
      </c>
      <c r="Z60" s="2">
        <v>182025</v>
      </c>
      <c r="AA60" s="2">
        <v>181782</v>
      </c>
      <c r="AB60" s="2">
        <v>181782</v>
      </c>
      <c r="AC60" s="2">
        <v>181782</v>
      </c>
      <c r="AD60" s="2">
        <v>181782</v>
      </c>
      <c r="AE60" s="2">
        <v>181782</v>
      </c>
      <c r="AF60" s="2">
        <v>181782</v>
      </c>
      <c r="AG60" s="2">
        <v>181782</v>
      </c>
      <c r="AH60" s="2">
        <f t="shared" si="19"/>
        <v>181782</v>
      </c>
      <c r="AI60" s="2">
        <v>181782</v>
      </c>
      <c r="AJ60" s="2">
        <v>181782</v>
      </c>
      <c r="AK60" s="2">
        <v>181782</v>
      </c>
    </row>
    <row r="61" spans="1:37" x14ac:dyDescent="0.2">
      <c r="A61" s="3">
        <v>1984</v>
      </c>
      <c r="B61" s="3">
        <v>3</v>
      </c>
      <c r="C61" s="2">
        <v>275272</v>
      </c>
      <c r="D61" s="2">
        <v>275272</v>
      </c>
      <c r="E61" s="2">
        <v>275272</v>
      </c>
      <c r="F61" s="2">
        <v>275272</v>
      </c>
      <c r="G61" s="2">
        <v>275272</v>
      </c>
      <c r="H61" s="2">
        <v>275272</v>
      </c>
      <c r="I61" s="2">
        <v>275272</v>
      </c>
      <c r="J61" s="51">
        <f t="shared" si="15"/>
        <v>346309.5188791859</v>
      </c>
      <c r="K61" s="51">
        <f t="shared" si="16"/>
        <v>352171.22152868425</v>
      </c>
      <c r="L61" s="51">
        <f t="shared" si="17"/>
        <v>352171.22152868425</v>
      </c>
      <c r="M61" s="2">
        <v>354297</v>
      </c>
      <c r="N61" s="2">
        <v>354297</v>
      </c>
      <c r="O61" s="2">
        <v>354297</v>
      </c>
      <c r="P61" s="2">
        <v>354297</v>
      </c>
      <c r="Q61" s="2">
        <v>354297</v>
      </c>
      <c r="R61" s="2">
        <v>353661</v>
      </c>
      <c r="S61" s="2">
        <v>353661</v>
      </c>
      <c r="T61" s="2">
        <v>353661</v>
      </c>
      <c r="U61" s="2">
        <v>353661</v>
      </c>
      <c r="V61" s="2">
        <v>182651</v>
      </c>
      <c r="W61" s="2">
        <v>182651</v>
      </c>
      <c r="X61" s="2">
        <v>182651</v>
      </c>
      <c r="Y61" s="2">
        <v>182651</v>
      </c>
      <c r="Z61" s="2">
        <v>182651</v>
      </c>
      <c r="AA61" s="2">
        <v>183042</v>
      </c>
      <c r="AB61" s="2">
        <v>183042</v>
      </c>
      <c r="AC61" s="2">
        <v>183042</v>
      </c>
      <c r="AD61" s="2">
        <v>183042</v>
      </c>
      <c r="AE61" s="2">
        <v>183042</v>
      </c>
      <c r="AF61" s="2">
        <v>183042</v>
      </c>
      <c r="AG61" s="2">
        <v>183042</v>
      </c>
      <c r="AH61" s="2">
        <f t="shared" si="19"/>
        <v>183042</v>
      </c>
      <c r="AI61" s="2">
        <v>183042</v>
      </c>
      <c r="AJ61" s="2">
        <v>183042</v>
      </c>
      <c r="AK61" s="2">
        <v>183042</v>
      </c>
    </row>
    <row r="62" spans="1:37" x14ac:dyDescent="0.2">
      <c r="A62" s="3">
        <v>1984</v>
      </c>
      <c r="B62" s="3">
        <v>4</v>
      </c>
      <c r="C62" s="2">
        <v>275968</v>
      </c>
      <c r="D62" s="2">
        <v>275968</v>
      </c>
      <c r="E62" s="2">
        <v>275968</v>
      </c>
      <c r="F62" s="2">
        <v>275968</v>
      </c>
      <c r="G62" s="2">
        <v>275968</v>
      </c>
      <c r="H62" s="2">
        <v>275968</v>
      </c>
      <c r="I62" s="2">
        <v>275968</v>
      </c>
      <c r="J62" s="51">
        <f t="shared" si="15"/>
        <v>347185.13072906499</v>
      </c>
      <c r="K62" s="51">
        <f t="shared" si="16"/>
        <v>353061.65415599092</v>
      </c>
      <c r="L62" s="51">
        <f t="shared" si="17"/>
        <v>353061.65415599092</v>
      </c>
      <c r="M62" s="2">
        <v>357256</v>
      </c>
      <c r="N62" s="2">
        <v>357256</v>
      </c>
      <c r="O62" s="2">
        <v>357256</v>
      </c>
      <c r="P62" s="2">
        <v>357256</v>
      </c>
      <c r="Q62" s="2">
        <v>357256</v>
      </c>
      <c r="R62" s="2">
        <v>356004</v>
      </c>
      <c r="S62" s="2">
        <v>356004</v>
      </c>
      <c r="T62" s="2">
        <v>356004</v>
      </c>
      <c r="U62" s="2">
        <v>356004</v>
      </c>
      <c r="V62" s="2">
        <v>183861</v>
      </c>
      <c r="W62" s="2">
        <v>183861</v>
      </c>
      <c r="X62" s="2">
        <v>183861</v>
      </c>
      <c r="Y62" s="2">
        <v>183861</v>
      </c>
      <c r="Z62" s="2">
        <v>183861</v>
      </c>
      <c r="AA62" s="2">
        <v>184381</v>
      </c>
      <c r="AB62" s="2">
        <v>184381</v>
      </c>
      <c r="AC62" s="2">
        <v>184381</v>
      </c>
      <c r="AD62" s="2">
        <v>184381</v>
      </c>
      <c r="AE62" s="2">
        <v>184381</v>
      </c>
      <c r="AF62" s="2">
        <v>184381</v>
      </c>
      <c r="AG62" s="2">
        <v>184381</v>
      </c>
      <c r="AH62" s="2">
        <f t="shared" si="19"/>
        <v>184381</v>
      </c>
      <c r="AI62" s="2">
        <v>184381</v>
      </c>
      <c r="AJ62" s="2">
        <v>184381</v>
      </c>
      <c r="AK62" s="2">
        <v>184381</v>
      </c>
    </row>
    <row r="63" spans="1:37" x14ac:dyDescent="0.2">
      <c r="A63" s="3">
        <v>1985</v>
      </c>
      <c r="B63" s="3">
        <v>1</v>
      </c>
      <c r="C63" s="2">
        <v>278665</v>
      </c>
      <c r="D63" s="2">
        <v>278665</v>
      </c>
      <c r="E63" s="2">
        <v>278665</v>
      </c>
      <c r="F63" s="2">
        <v>278665</v>
      </c>
      <c r="G63" s="2">
        <v>278665</v>
      </c>
      <c r="H63" s="2">
        <v>278665</v>
      </c>
      <c r="I63" s="2">
        <v>278665</v>
      </c>
      <c r="J63" s="51">
        <f t="shared" si="15"/>
        <v>350578.12664734642</v>
      </c>
      <c r="K63" s="51">
        <f t="shared" si="16"/>
        <v>356512.08058680431</v>
      </c>
      <c r="L63" s="51">
        <f t="shared" si="17"/>
        <v>356512.08058680431</v>
      </c>
      <c r="M63" s="2">
        <v>357674</v>
      </c>
      <c r="N63" s="2">
        <v>357674</v>
      </c>
      <c r="O63" s="2">
        <v>357674</v>
      </c>
      <c r="P63" s="2">
        <v>357674</v>
      </c>
      <c r="Q63" s="2">
        <v>357674</v>
      </c>
      <c r="R63" s="2">
        <v>357921</v>
      </c>
      <c r="S63" s="2">
        <v>357921</v>
      </c>
      <c r="T63" s="2">
        <v>357921</v>
      </c>
      <c r="U63" s="2">
        <v>357921</v>
      </c>
      <c r="V63" s="2">
        <v>184851</v>
      </c>
      <c r="W63" s="2">
        <v>184851</v>
      </c>
      <c r="X63" s="2">
        <v>184851</v>
      </c>
      <c r="Y63" s="2">
        <v>184851</v>
      </c>
      <c r="Z63" s="2">
        <v>184851</v>
      </c>
      <c r="AA63" s="2">
        <v>185434</v>
      </c>
      <c r="AB63" s="2">
        <v>185434</v>
      </c>
      <c r="AC63" s="2">
        <v>185434</v>
      </c>
      <c r="AD63" s="2">
        <v>185434</v>
      </c>
      <c r="AE63" s="2">
        <v>185434</v>
      </c>
      <c r="AF63" s="2">
        <v>185434</v>
      </c>
      <c r="AG63" s="2">
        <v>185434</v>
      </c>
      <c r="AH63" s="2">
        <f t="shared" si="19"/>
        <v>185434</v>
      </c>
      <c r="AI63" s="2">
        <v>185434</v>
      </c>
      <c r="AJ63" s="2">
        <v>185434</v>
      </c>
      <c r="AK63" s="2">
        <v>185434</v>
      </c>
    </row>
    <row r="64" spans="1:37" x14ac:dyDescent="0.2">
      <c r="A64" s="3">
        <v>1985</v>
      </c>
      <c r="B64" s="3">
        <v>2</v>
      </c>
      <c r="C64" s="2">
        <v>282126</v>
      </c>
      <c r="D64" s="2">
        <v>282126</v>
      </c>
      <c r="E64" s="2">
        <v>282126</v>
      </c>
      <c r="F64" s="2">
        <v>282126</v>
      </c>
      <c r="G64" s="2">
        <v>282126</v>
      </c>
      <c r="H64" s="2">
        <v>282126</v>
      </c>
      <c r="I64" s="2">
        <v>282126</v>
      </c>
      <c r="J64" s="51">
        <f t="shared" si="15"/>
        <v>354932.28269969049</v>
      </c>
      <c r="K64" s="51">
        <f t="shared" si="16"/>
        <v>360939.93593609799</v>
      </c>
      <c r="L64" s="51">
        <f t="shared" si="17"/>
        <v>360939.93593609799</v>
      </c>
      <c r="M64" s="2">
        <v>362887</v>
      </c>
      <c r="N64" s="2">
        <v>362887</v>
      </c>
      <c r="O64" s="2">
        <v>362887</v>
      </c>
      <c r="P64" s="2">
        <v>362887</v>
      </c>
      <c r="Q64" s="2">
        <v>362887</v>
      </c>
      <c r="R64" s="2">
        <v>362945</v>
      </c>
      <c r="S64" s="2">
        <v>362945</v>
      </c>
      <c r="T64" s="2">
        <v>362945</v>
      </c>
      <c r="U64" s="2">
        <v>362945</v>
      </c>
      <c r="V64" s="2">
        <v>187446</v>
      </c>
      <c r="W64" s="2">
        <v>187446</v>
      </c>
      <c r="X64" s="2">
        <v>187446</v>
      </c>
      <c r="Y64" s="2">
        <v>187446</v>
      </c>
      <c r="Z64" s="2">
        <v>187446</v>
      </c>
      <c r="AA64" s="2">
        <v>187641</v>
      </c>
      <c r="AB64" s="2">
        <v>187641</v>
      </c>
      <c r="AC64" s="2">
        <v>187641</v>
      </c>
      <c r="AD64" s="2">
        <v>187641</v>
      </c>
      <c r="AE64" s="2">
        <v>187641</v>
      </c>
      <c r="AF64" s="2">
        <v>187641</v>
      </c>
      <c r="AG64" s="2">
        <v>187641</v>
      </c>
      <c r="AH64" s="2">
        <f t="shared" si="19"/>
        <v>187641</v>
      </c>
      <c r="AI64" s="2">
        <v>187641</v>
      </c>
      <c r="AJ64" s="2">
        <v>187641</v>
      </c>
      <c r="AK64" s="2">
        <v>187641</v>
      </c>
    </row>
    <row r="65" spans="1:37" x14ac:dyDescent="0.2">
      <c r="A65" s="3">
        <v>1985</v>
      </c>
      <c r="B65" s="3">
        <v>3</v>
      </c>
      <c r="C65" s="2">
        <v>284552</v>
      </c>
      <c r="D65" s="2">
        <v>284552</v>
      </c>
      <c r="E65" s="2">
        <v>284552</v>
      </c>
      <c r="F65" s="2">
        <v>284552</v>
      </c>
      <c r="G65" s="2">
        <v>284552</v>
      </c>
      <c r="H65" s="2">
        <v>284552</v>
      </c>
      <c r="I65" s="2">
        <v>284552</v>
      </c>
      <c r="J65" s="51">
        <f t="shared" si="15"/>
        <v>357984.34354424028</v>
      </c>
      <c r="K65" s="51">
        <f t="shared" si="16"/>
        <v>364043.65655943996</v>
      </c>
      <c r="L65" s="51">
        <f t="shared" si="17"/>
        <v>364043.65655943996</v>
      </c>
      <c r="M65" s="2">
        <v>366918</v>
      </c>
      <c r="N65" s="2">
        <v>366918</v>
      </c>
      <c r="O65" s="2">
        <v>366918</v>
      </c>
      <c r="P65" s="2">
        <v>366918</v>
      </c>
      <c r="Q65" s="2">
        <v>366918</v>
      </c>
      <c r="R65" s="2">
        <v>367201</v>
      </c>
      <c r="S65" s="2">
        <v>367201</v>
      </c>
      <c r="T65" s="2">
        <v>367201</v>
      </c>
      <c r="U65" s="2">
        <v>367201</v>
      </c>
      <c r="V65" s="2">
        <v>189643</v>
      </c>
      <c r="W65" s="2">
        <v>189643</v>
      </c>
      <c r="X65" s="2">
        <v>189643</v>
      </c>
      <c r="Y65" s="2">
        <v>189643</v>
      </c>
      <c r="Z65" s="2">
        <v>189643</v>
      </c>
      <c r="AA65" s="2">
        <v>189310</v>
      </c>
      <c r="AB65" s="2">
        <v>189310</v>
      </c>
      <c r="AC65" s="2">
        <v>189310</v>
      </c>
      <c r="AD65" s="2">
        <v>189310</v>
      </c>
      <c r="AE65" s="2">
        <v>189310</v>
      </c>
      <c r="AF65" s="2">
        <v>189310</v>
      </c>
      <c r="AG65" s="2">
        <v>189310</v>
      </c>
      <c r="AH65" s="2">
        <f t="shared" si="19"/>
        <v>189310</v>
      </c>
      <c r="AI65" s="2">
        <v>189310</v>
      </c>
      <c r="AJ65" s="2">
        <v>189310</v>
      </c>
      <c r="AK65" s="2">
        <v>189310</v>
      </c>
    </row>
    <row r="66" spans="1:37" x14ac:dyDescent="0.2">
      <c r="A66" s="3">
        <v>1985</v>
      </c>
      <c r="B66" s="3">
        <v>4</v>
      </c>
      <c r="C66" s="2">
        <v>286970</v>
      </c>
      <c r="D66" s="2">
        <v>286970</v>
      </c>
      <c r="E66" s="2">
        <v>286970</v>
      </c>
      <c r="F66" s="2">
        <v>286970</v>
      </c>
      <c r="G66" s="2">
        <v>286970</v>
      </c>
      <c r="H66" s="2">
        <v>286970</v>
      </c>
      <c r="I66" s="2">
        <v>286970</v>
      </c>
      <c r="J66" s="51">
        <f t="shared" si="15"/>
        <v>361026.33988476847</v>
      </c>
      <c r="K66" s="51">
        <f t="shared" si="16"/>
        <v>367137.14232499682</v>
      </c>
      <c r="L66" s="51">
        <f t="shared" si="17"/>
        <v>367137.14232499682</v>
      </c>
      <c r="M66" s="2">
        <v>369827</v>
      </c>
      <c r="N66" s="2">
        <v>369827</v>
      </c>
      <c r="O66" s="2">
        <v>369827</v>
      </c>
      <c r="P66" s="2">
        <v>369827</v>
      </c>
      <c r="Q66" s="2">
        <v>369827</v>
      </c>
      <c r="R66" s="2">
        <v>369239</v>
      </c>
      <c r="S66" s="2">
        <v>369239</v>
      </c>
      <c r="T66" s="2">
        <v>369239</v>
      </c>
      <c r="U66" s="2">
        <v>369239</v>
      </c>
      <c r="V66" s="2">
        <v>190696</v>
      </c>
      <c r="W66" s="2">
        <v>190696</v>
      </c>
      <c r="X66" s="2">
        <v>190696</v>
      </c>
      <c r="Y66" s="2">
        <v>190696</v>
      </c>
      <c r="Z66" s="2">
        <v>190696</v>
      </c>
      <c r="AA66" s="2">
        <v>190180</v>
      </c>
      <c r="AB66" s="2">
        <v>190180</v>
      </c>
      <c r="AC66" s="2">
        <v>190180</v>
      </c>
      <c r="AD66" s="2">
        <v>190180</v>
      </c>
      <c r="AE66" s="2">
        <v>190180</v>
      </c>
      <c r="AF66" s="2">
        <v>190180</v>
      </c>
      <c r="AG66" s="2">
        <v>190180</v>
      </c>
      <c r="AH66" s="2">
        <f t="shared" si="19"/>
        <v>190180</v>
      </c>
      <c r="AI66" s="2">
        <v>190180</v>
      </c>
      <c r="AJ66" s="2">
        <v>190180</v>
      </c>
      <c r="AK66" s="2">
        <v>190180</v>
      </c>
    </row>
    <row r="67" spans="1:37" x14ac:dyDescent="0.2">
      <c r="A67" s="3">
        <v>1986</v>
      </c>
      <c r="B67" s="3">
        <v>1</v>
      </c>
      <c r="C67" s="2">
        <v>287066</v>
      </c>
      <c r="D67" s="2">
        <v>287066</v>
      </c>
      <c r="E67" s="2">
        <v>287066</v>
      </c>
      <c r="F67" s="2">
        <v>287066</v>
      </c>
      <c r="G67" s="2">
        <v>287066</v>
      </c>
      <c r="H67" s="2">
        <v>287066</v>
      </c>
      <c r="I67" s="2">
        <v>287066</v>
      </c>
      <c r="J67" s="51">
        <f t="shared" ref="J67:J74" si="20">J68/I68*I67</f>
        <v>361147.11393302761</v>
      </c>
      <c r="K67" s="51">
        <f t="shared" ref="K67:K74" si="21">K68/J68*J67</f>
        <v>367259.96061841841</v>
      </c>
      <c r="L67" s="51">
        <f t="shared" ref="L67:L74" si="22">K67</f>
        <v>367259.96061841841</v>
      </c>
      <c r="M67" s="2">
        <v>368711</v>
      </c>
      <c r="N67" s="2">
        <v>368711</v>
      </c>
      <c r="O67" s="2">
        <v>368711</v>
      </c>
      <c r="P67" s="2">
        <v>368711</v>
      </c>
      <c r="Q67" s="2">
        <v>368711</v>
      </c>
      <c r="R67" s="2">
        <v>368655</v>
      </c>
      <c r="S67" s="2">
        <v>368655</v>
      </c>
      <c r="T67" s="2">
        <v>368655</v>
      </c>
      <c r="U67" s="2">
        <v>368655</v>
      </c>
      <c r="V67" s="2">
        <v>190394</v>
      </c>
      <c r="W67" s="2">
        <v>190394</v>
      </c>
      <c r="X67" s="2">
        <v>190394</v>
      </c>
      <c r="Y67" s="2">
        <v>190394</v>
      </c>
      <c r="Z67" s="2">
        <v>190394</v>
      </c>
      <c r="AA67" s="2">
        <v>190698</v>
      </c>
      <c r="AB67" s="2">
        <v>190698</v>
      </c>
      <c r="AC67" s="2">
        <v>190698</v>
      </c>
      <c r="AD67" s="2">
        <v>190698</v>
      </c>
      <c r="AE67" s="2">
        <v>190698</v>
      </c>
      <c r="AF67" s="2">
        <v>190698</v>
      </c>
      <c r="AG67" s="2">
        <v>190698</v>
      </c>
      <c r="AH67" s="2">
        <f t="shared" si="19"/>
        <v>190698</v>
      </c>
      <c r="AI67" s="2">
        <v>190698</v>
      </c>
      <c r="AJ67" s="2">
        <v>190698</v>
      </c>
      <c r="AK67" s="2">
        <v>190698</v>
      </c>
    </row>
    <row r="68" spans="1:37" x14ac:dyDescent="0.2">
      <c r="A68" s="3">
        <v>1986</v>
      </c>
      <c r="B68" s="3">
        <v>2</v>
      </c>
      <c r="C68" s="2">
        <v>290328</v>
      </c>
      <c r="D68" s="2">
        <v>290328</v>
      </c>
      <c r="E68" s="2">
        <v>290328</v>
      </c>
      <c r="F68" s="2">
        <v>290328</v>
      </c>
      <c r="G68" s="2">
        <v>290328</v>
      </c>
      <c r="H68" s="2">
        <v>290328</v>
      </c>
      <c r="I68" s="2">
        <v>290328</v>
      </c>
      <c r="J68" s="51">
        <f t="shared" si="20"/>
        <v>365250.91544783447</v>
      </c>
      <c r="K68" s="51">
        <f t="shared" si="21"/>
        <v>371433.22388030693</v>
      </c>
      <c r="L68" s="51">
        <f t="shared" si="22"/>
        <v>371433.22388030693</v>
      </c>
      <c r="M68" s="2">
        <v>372318</v>
      </c>
      <c r="N68" s="2">
        <v>372318</v>
      </c>
      <c r="O68" s="2">
        <v>372318</v>
      </c>
      <c r="P68" s="2">
        <v>372318</v>
      </c>
      <c r="Q68" s="2">
        <v>372318</v>
      </c>
      <c r="R68" s="2">
        <v>372393</v>
      </c>
      <c r="S68" s="2">
        <v>372393</v>
      </c>
      <c r="T68" s="2">
        <v>372393</v>
      </c>
      <c r="U68" s="2">
        <v>372393</v>
      </c>
      <c r="V68" s="2">
        <v>192325</v>
      </c>
      <c r="W68" s="2">
        <v>192325</v>
      </c>
      <c r="X68" s="2">
        <v>192325</v>
      </c>
      <c r="Y68" s="2">
        <v>192325</v>
      </c>
      <c r="Z68" s="2">
        <v>192325</v>
      </c>
      <c r="AA68" s="2">
        <v>192278</v>
      </c>
      <c r="AB68" s="2">
        <v>192278</v>
      </c>
      <c r="AC68" s="2">
        <v>192278</v>
      </c>
      <c r="AD68" s="2">
        <v>192278</v>
      </c>
      <c r="AE68" s="2">
        <v>192278</v>
      </c>
      <c r="AF68" s="2">
        <v>192278</v>
      </c>
      <c r="AG68" s="2">
        <v>192278</v>
      </c>
      <c r="AH68" s="2">
        <f t="shared" si="19"/>
        <v>192278</v>
      </c>
      <c r="AI68" s="2">
        <v>192278</v>
      </c>
      <c r="AJ68" s="2">
        <v>192278</v>
      </c>
      <c r="AK68" s="2">
        <v>192278</v>
      </c>
    </row>
    <row r="69" spans="1:37" x14ac:dyDescent="0.2">
      <c r="A69" s="3">
        <v>1986</v>
      </c>
      <c r="B69" s="3">
        <v>3</v>
      </c>
      <c r="C69" s="2">
        <v>293023</v>
      </c>
      <c r="D69" s="2">
        <v>293023</v>
      </c>
      <c r="E69" s="2">
        <v>293023</v>
      </c>
      <c r="F69" s="2">
        <v>293023</v>
      </c>
      <c r="G69" s="2">
        <v>293023</v>
      </c>
      <c r="H69" s="2">
        <v>293023</v>
      </c>
      <c r="I69" s="2">
        <v>293023</v>
      </c>
      <c r="J69" s="51">
        <f t="shared" si="20"/>
        <v>368641.39524011046</v>
      </c>
      <c r="K69" s="51">
        <f t="shared" si="21"/>
        <v>374881.091596674</v>
      </c>
      <c r="L69" s="51">
        <f t="shared" si="22"/>
        <v>374881.091596674</v>
      </c>
      <c r="M69" s="2">
        <v>375409</v>
      </c>
      <c r="N69" s="2">
        <v>375409</v>
      </c>
      <c r="O69" s="2">
        <v>375409</v>
      </c>
      <c r="P69" s="2">
        <v>375409</v>
      </c>
      <c r="Q69" s="2">
        <v>375409</v>
      </c>
      <c r="R69" s="2">
        <v>375356</v>
      </c>
      <c r="S69" s="2">
        <v>375356</v>
      </c>
      <c r="T69" s="2">
        <v>375356</v>
      </c>
      <c r="U69" s="2">
        <v>375356</v>
      </c>
      <c r="V69" s="2">
        <v>193855</v>
      </c>
      <c r="W69" s="2">
        <v>193855</v>
      </c>
      <c r="X69" s="2">
        <v>193855</v>
      </c>
      <c r="Y69" s="2">
        <v>193855</v>
      </c>
      <c r="Z69" s="2">
        <v>193855</v>
      </c>
      <c r="AA69" s="2">
        <v>193755</v>
      </c>
      <c r="AB69" s="2">
        <v>193755</v>
      </c>
      <c r="AC69" s="2">
        <v>193755</v>
      </c>
      <c r="AD69" s="2">
        <v>193755</v>
      </c>
      <c r="AE69" s="2">
        <v>193755</v>
      </c>
      <c r="AF69" s="2">
        <v>193755</v>
      </c>
      <c r="AG69" s="2">
        <v>193755</v>
      </c>
      <c r="AH69" s="2">
        <f t="shared" si="19"/>
        <v>193755</v>
      </c>
      <c r="AI69" s="2">
        <v>193755</v>
      </c>
      <c r="AJ69" s="2">
        <v>193755</v>
      </c>
      <c r="AK69" s="2">
        <v>193755</v>
      </c>
    </row>
    <row r="70" spans="1:37" x14ac:dyDescent="0.2">
      <c r="A70" s="3">
        <v>1986</v>
      </c>
      <c r="B70" s="3">
        <v>4</v>
      </c>
      <c r="C70" s="2">
        <v>294048</v>
      </c>
      <c r="D70" s="2">
        <v>294048</v>
      </c>
      <c r="E70" s="2">
        <v>294048</v>
      </c>
      <c r="F70" s="2">
        <v>294048</v>
      </c>
      <c r="G70" s="2">
        <v>294048</v>
      </c>
      <c r="H70" s="2">
        <v>294048</v>
      </c>
      <c r="I70" s="2">
        <v>294048</v>
      </c>
      <c r="J70" s="51">
        <f t="shared" si="20"/>
        <v>369930.90981787781</v>
      </c>
      <c r="K70" s="51">
        <f t="shared" si="21"/>
        <v>376192.43275039434</v>
      </c>
      <c r="L70" s="51">
        <f t="shared" si="22"/>
        <v>376192.43275039434</v>
      </c>
      <c r="M70" s="2">
        <v>377678</v>
      </c>
      <c r="N70" s="2">
        <v>377678</v>
      </c>
      <c r="O70" s="2">
        <v>377678</v>
      </c>
      <c r="P70" s="2">
        <v>377678</v>
      </c>
      <c r="Q70" s="2">
        <v>377678</v>
      </c>
      <c r="R70" s="2">
        <v>377712</v>
      </c>
      <c r="S70" s="2">
        <v>377712</v>
      </c>
      <c r="T70" s="2">
        <v>377712</v>
      </c>
      <c r="U70" s="2">
        <v>377712</v>
      </c>
      <c r="V70" s="2">
        <v>195072</v>
      </c>
      <c r="W70" s="2">
        <v>195072</v>
      </c>
      <c r="X70" s="2">
        <v>195072</v>
      </c>
      <c r="Y70" s="2">
        <v>195072</v>
      </c>
      <c r="Z70" s="2">
        <v>195072</v>
      </c>
      <c r="AA70" s="2">
        <v>195129</v>
      </c>
      <c r="AB70" s="2">
        <v>195129</v>
      </c>
      <c r="AC70" s="2">
        <v>195129</v>
      </c>
      <c r="AD70" s="2">
        <v>195129</v>
      </c>
      <c r="AE70" s="2">
        <v>195129</v>
      </c>
      <c r="AF70" s="2">
        <v>195129</v>
      </c>
      <c r="AG70" s="2">
        <v>195129</v>
      </c>
      <c r="AH70" s="2">
        <f t="shared" si="19"/>
        <v>195129</v>
      </c>
      <c r="AI70" s="2">
        <v>195129</v>
      </c>
      <c r="AJ70" s="2">
        <v>195129</v>
      </c>
      <c r="AK70" s="2">
        <v>195129</v>
      </c>
    </row>
    <row r="71" spans="1:37" x14ac:dyDescent="0.2">
      <c r="A71" s="3">
        <v>1987</v>
      </c>
      <c r="B71" s="3">
        <v>1</v>
      </c>
      <c r="C71" s="2">
        <v>294675</v>
      </c>
      <c r="D71" s="2">
        <v>294675</v>
      </c>
      <c r="E71" s="2">
        <v>294675</v>
      </c>
      <c r="F71" s="2">
        <v>294675</v>
      </c>
      <c r="G71" s="2">
        <v>294675</v>
      </c>
      <c r="H71" s="2">
        <v>294675</v>
      </c>
      <c r="I71" s="2">
        <v>294675</v>
      </c>
      <c r="J71" s="51">
        <f t="shared" si="20"/>
        <v>370719.71532057057</v>
      </c>
      <c r="K71" s="51">
        <f t="shared" si="21"/>
        <v>376994.58972930419</v>
      </c>
      <c r="L71" s="51">
        <f t="shared" si="22"/>
        <v>376994.58972930419</v>
      </c>
      <c r="M71" s="2">
        <v>377379</v>
      </c>
      <c r="N71" s="2">
        <v>377379</v>
      </c>
      <c r="O71" s="2">
        <v>377379</v>
      </c>
      <c r="P71" s="2">
        <v>377379</v>
      </c>
      <c r="Q71" s="2">
        <v>377379</v>
      </c>
      <c r="R71" s="2">
        <v>379088</v>
      </c>
      <c r="S71" s="2">
        <v>379088</v>
      </c>
      <c r="T71" s="2">
        <v>379088</v>
      </c>
      <c r="U71" s="2">
        <v>379088</v>
      </c>
      <c r="V71" s="2">
        <v>195783</v>
      </c>
      <c r="W71" s="2">
        <v>195783</v>
      </c>
      <c r="X71" s="2">
        <v>195783</v>
      </c>
      <c r="Y71" s="2">
        <v>195783</v>
      </c>
      <c r="Z71" s="2">
        <v>195783</v>
      </c>
      <c r="AA71" s="2">
        <v>195109</v>
      </c>
      <c r="AB71" s="2">
        <v>195109</v>
      </c>
      <c r="AC71" s="2">
        <v>195109</v>
      </c>
      <c r="AD71" s="2">
        <v>195109</v>
      </c>
      <c r="AE71" s="2">
        <v>195109</v>
      </c>
      <c r="AF71" s="2">
        <v>195109</v>
      </c>
      <c r="AG71" s="2">
        <v>195109</v>
      </c>
      <c r="AH71" s="2">
        <f t="shared" si="19"/>
        <v>195109</v>
      </c>
      <c r="AI71" s="2">
        <v>195109</v>
      </c>
      <c r="AJ71" s="2">
        <v>195109</v>
      </c>
      <c r="AK71" s="2">
        <v>195109</v>
      </c>
    </row>
    <row r="72" spans="1:37" x14ac:dyDescent="0.2">
      <c r="A72" s="3">
        <v>1987</v>
      </c>
      <c r="B72" s="3">
        <v>2</v>
      </c>
      <c r="C72" s="2">
        <v>299689</v>
      </c>
      <c r="D72" s="2">
        <v>299689</v>
      </c>
      <c r="E72" s="2">
        <v>299689</v>
      </c>
      <c r="F72" s="2">
        <v>299689</v>
      </c>
      <c r="G72" s="2">
        <v>299689</v>
      </c>
      <c r="H72" s="2">
        <v>299689</v>
      </c>
      <c r="I72" s="2">
        <v>299689</v>
      </c>
      <c r="J72" s="51">
        <f t="shared" si="20"/>
        <v>377027.64321610751</v>
      </c>
      <c r="K72" s="51">
        <f t="shared" si="21"/>
        <v>383409.28684613708</v>
      </c>
      <c r="L72" s="51">
        <f t="shared" si="22"/>
        <v>383409.28684613708</v>
      </c>
      <c r="M72" s="2">
        <v>384484</v>
      </c>
      <c r="N72" s="2">
        <v>384484</v>
      </c>
      <c r="O72" s="2">
        <v>384484</v>
      </c>
      <c r="P72" s="2">
        <v>384484</v>
      </c>
      <c r="Q72" s="2">
        <v>384484</v>
      </c>
      <c r="R72" s="2">
        <v>384810</v>
      </c>
      <c r="S72" s="2">
        <v>384810</v>
      </c>
      <c r="T72" s="2">
        <v>384810</v>
      </c>
      <c r="U72" s="2">
        <v>384810</v>
      </c>
      <c r="V72" s="2">
        <v>198738</v>
      </c>
      <c r="W72" s="2">
        <v>198738</v>
      </c>
      <c r="X72" s="2">
        <v>198738</v>
      </c>
      <c r="Y72" s="2">
        <v>198738</v>
      </c>
      <c r="Z72" s="2">
        <v>198738</v>
      </c>
      <c r="AA72" s="2">
        <v>198518</v>
      </c>
      <c r="AB72" s="2">
        <v>198518</v>
      </c>
      <c r="AC72" s="2">
        <v>198518</v>
      </c>
      <c r="AD72" s="2">
        <v>198518</v>
      </c>
      <c r="AE72" s="2">
        <v>198518</v>
      </c>
      <c r="AF72" s="2">
        <v>198518</v>
      </c>
      <c r="AG72" s="2">
        <v>198518</v>
      </c>
      <c r="AH72" s="2">
        <f t="shared" si="19"/>
        <v>198518</v>
      </c>
      <c r="AI72" s="2">
        <v>198518</v>
      </c>
      <c r="AJ72" s="2">
        <v>198518</v>
      </c>
      <c r="AK72" s="2">
        <v>198518</v>
      </c>
    </row>
    <row r="73" spans="1:37" x14ac:dyDescent="0.2">
      <c r="A73" s="3">
        <v>1987</v>
      </c>
      <c r="B73" s="3">
        <v>3</v>
      </c>
      <c r="C73" s="2">
        <v>301076</v>
      </c>
      <c r="D73" s="2">
        <v>301076</v>
      </c>
      <c r="E73" s="2">
        <v>301076</v>
      </c>
      <c r="F73" s="2">
        <v>301076</v>
      </c>
      <c r="G73" s="2">
        <v>301076</v>
      </c>
      <c r="H73" s="2">
        <v>301076</v>
      </c>
      <c r="I73" s="2">
        <v>301076</v>
      </c>
      <c r="J73" s="51">
        <f t="shared" si="20"/>
        <v>378772.57660085219</v>
      </c>
      <c r="K73" s="51">
        <f t="shared" si="21"/>
        <v>385183.75531463476</v>
      </c>
      <c r="L73" s="51">
        <f t="shared" si="22"/>
        <v>385183.75531463476</v>
      </c>
      <c r="M73" s="2">
        <v>385561</v>
      </c>
      <c r="N73" s="2">
        <v>385561</v>
      </c>
      <c r="O73" s="2">
        <v>385561</v>
      </c>
      <c r="P73" s="2">
        <v>385561</v>
      </c>
      <c r="Q73" s="2">
        <v>385561</v>
      </c>
      <c r="R73" s="2">
        <v>385168</v>
      </c>
      <c r="S73" s="2">
        <v>385168</v>
      </c>
      <c r="T73" s="2">
        <v>385168</v>
      </c>
      <c r="U73" s="2">
        <v>385168</v>
      </c>
      <c r="V73" s="2">
        <v>198923</v>
      </c>
      <c r="W73" s="2">
        <v>198923</v>
      </c>
      <c r="X73" s="2">
        <v>198923</v>
      </c>
      <c r="Y73" s="2">
        <v>198923</v>
      </c>
      <c r="Z73" s="2">
        <v>198923</v>
      </c>
      <c r="AA73" s="2">
        <v>198993</v>
      </c>
      <c r="AB73" s="2">
        <v>198993</v>
      </c>
      <c r="AC73" s="2">
        <v>198993</v>
      </c>
      <c r="AD73" s="2">
        <v>198993</v>
      </c>
      <c r="AE73" s="2">
        <v>198993</v>
      </c>
      <c r="AF73" s="2">
        <v>198993</v>
      </c>
      <c r="AG73" s="2">
        <v>198993</v>
      </c>
      <c r="AH73" s="2">
        <f t="shared" si="19"/>
        <v>198993</v>
      </c>
      <c r="AI73" s="2">
        <v>198993</v>
      </c>
      <c r="AJ73" s="2">
        <v>198993</v>
      </c>
      <c r="AK73" s="2">
        <v>198993</v>
      </c>
    </row>
    <row r="74" spans="1:37" x14ac:dyDescent="0.2">
      <c r="A74" s="3">
        <v>1987</v>
      </c>
      <c r="B74" s="3">
        <v>4</v>
      </c>
      <c r="C74" s="2">
        <v>305082</v>
      </c>
      <c r="D74" s="2">
        <v>305082</v>
      </c>
      <c r="E74" s="2">
        <v>305082</v>
      </c>
      <c r="F74" s="2">
        <v>305082</v>
      </c>
      <c r="G74" s="2">
        <v>305082</v>
      </c>
      <c r="H74" s="2">
        <v>305082</v>
      </c>
      <c r="I74" s="2">
        <v>305082</v>
      </c>
      <c r="J74" s="51">
        <f t="shared" si="20"/>
        <v>383812.37698966765</v>
      </c>
      <c r="K74" s="51">
        <f t="shared" si="21"/>
        <v>390308.86035054072</v>
      </c>
      <c r="L74" s="51">
        <f t="shared" si="22"/>
        <v>390308.86035054072</v>
      </c>
      <c r="M74" s="2">
        <v>391290</v>
      </c>
      <c r="N74" s="2">
        <v>391290</v>
      </c>
      <c r="O74" s="2">
        <v>391290</v>
      </c>
      <c r="P74" s="2">
        <v>391290</v>
      </c>
      <c r="Q74" s="2">
        <v>391290</v>
      </c>
      <c r="R74" s="2">
        <v>389648</v>
      </c>
      <c r="S74" s="2">
        <v>389648</v>
      </c>
      <c r="T74" s="2">
        <v>389648</v>
      </c>
      <c r="U74" s="2">
        <v>389648</v>
      </c>
      <c r="V74" s="2">
        <v>201237</v>
      </c>
      <c r="W74" s="2">
        <v>201237</v>
      </c>
      <c r="X74" s="2">
        <v>201237</v>
      </c>
      <c r="Y74" s="2">
        <v>201237</v>
      </c>
      <c r="Z74" s="2">
        <v>201237</v>
      </c>
      <c r="AA74" s="2">
        <v>201608</v>
      </c>
      <c r="AB74" s="2">
        <v>201608</v>
      </c>
      <c r="AC74" s="2">
        <v>201608</v>
      </c>
      <c r="AD74" s="2">
        <v>201608</v>
      </c>
      <c r="AE74" s="2">
        <v>201608</v>
      </c>
      <c r="AF74" s="2">
        <v>201608</v>
      </c>
      <c r="AG74" s="2">
        <v>201608</v>
      </c>
      <c r="AH74" s="2">
        <f t="shared" si="19"/>
        <v>201608</v>
      </c>
      <c r="AI74" s="2">
        <v>201608</v>
      </c>
      <c r="AJ74" s="2">
        <v>201608</v>
      </c>
      <c r="AK74" s="2">
        <v>201608</v>
      </c>
    </row>
    <row r="75" spans="1:37" x14ac:dyDescent="0.2">
      <c r="A75" s="3">
        <v>1988</v>
      </c>
      <c r="B75" s="3">
        <v>1</v>
      </c>
      <c r="C75" s="2">
        <v>308723</v>
      </c>
      <c r="D75" s="2">
        <v>308723</v>
      </c>
      <c r="E75" s="2">
        <v>308723</v>
      </c>
      <c r="F75" s="2">
        <v>308723</v>
      </c>
      <c r="G75" s="2">
        <v>308723</v>
      </c>
      <c r="H75" s="2">
        <v>308723</v>
      </c>
      <c r="I75" s="2">
        <v>308723</v>
      </c>
      <c r="J75" s="52">
        <f t="shared" ref="J75:J102" si="23">J76/K76*K75</f>
        <v>388392.98438249773</v>
      </c>
      <c r="K75" s="2">
        <v>394967</v>
      </c>
      <c r="L75" s="2">
        <v>394967</v>
      </c>
      <c r="M75" s="2">
        <v>394746</v>
      </c>
      <c r="N75" s="2">
        <v>394746</v>
      </c>
      <c r="O75" s="2">
        <v>394746</v>
      </c>
      <c r="P75" s="2">
        <v>394746</v>
      </c>
      <c r="Q75" s="2">
        <v>394746</v>
      </c>
      <c r="R75" s="2">
        <v>395342</v>
      </c>
      <c r="S75" s="2">
        <v>395342</v>
      </c>
      <c r="T75" s="2">
        <v>395342</v>
      </c>
      <c r="U75" s="2">
        <v>395342</v>
      </c>
      <c r="V75" s="2">
        <v>204177</v>
      </c>
      <c r="W75" s="2">
        <v>204177</v>
      </c>
      <c r="X75" s="2">
        <v>204177</v>
      </c>
      <c r="Y75" s="2">
        <v>204177</v>
      </c>
      <c r="Z75" s="2">
        <v>204177</v>
      </c>
      <c r="AA75" s="2">
        <v>204426</v>
      </c>
      <c r="AB75" s="2">
        <v>204426</v>
      </c>
      <c r="AC75" s="2">
        <v>204426</v>
      </c>
      <c r="AD75" s="2">
        <v>204426</v>
      </c>
      <c r="AE75" s="2">
        <v>204426</v>
      </c>
      <c r="AF75" s="2">
        <v>204426</v>
      </c>
      <c r="AG75" s="2">
        <v>204426</v>
      </c>
      <c r="AH75" s="2">
        <f t="shared" ref="AH75:AH106" si="24">AG75</f>
        <v>204426</v>
      </c>
      <c r="AI75" s="2">
        <v>204426</v>
      </c>
      <c r="AJ75" s="2">
        <v>204426</v>
      </c>
      <c r="AK75" s="2">
        <v>204426</v>
      </c>
    </row>
    <row r="76" spans="1:37" x14ac:dyDescent="0.2">
      <c r="A76" s="3">
        <v>1988</v>
      </c>
      <c r="B76" s="3">
        <v>2</v>
      </c>
      <c r="C76" s="2">
        <v>310305</v>
      </c>
      <c r="D76" s="2">
        <v>310305</v>
      </c>
      <c r="E76" s="2">
        <v>310305</v>
      </c>
      <c r="F76" s="2">
        <v>310305</v>
      </c>
      <c r="G76" s="2">
        <v>310305</v>
      </c>
      <c r="H76" s="2">
        <v>310305</v>
      </c>
      <c r="I76" s="2">
        <v>310305</v>
      </c>
      <c r="J76" s="52">
        <f t="shared" si="23"/>
        <v>391219.1481812842</v>
      </c>
      <c r="K76" s="2">
        <v>397841</v>
      </c>
      <c r="L76" s="2">
        <v>397841</v>
      </c>
      <c r="M76" s="2">
        <v>397781</v>
      </c>
      <c r="N76" s="2">
        <v>397781</v>
      </c>
      <c r="O76" s="2">
        <v>397781</v>
      </c>
      <c r="P76" s="2">
        <v>397781</v>
      </c>
      <c r="Q76" s="2">
        <v>397781</v>
      </c>
      <c r="R76" s="2">
        <v>398994</v>
      </c>
      <c r="S76" s="2">
        <v>398994</v>
      </c>
      <c r="T76" s="2">
        <v>398994</v>
      </c>
      <c r="U76" s="2">
        <v>398994</v>
      </c>
      <c r="V76" s="2">
        <v>206063</v>
      </c>
      <c r="W76" s="2">
        <v>206063</v>
      </c>
      <c r="X76" s="2">
        <v>206063</v>
      </c>
      <c r="Y76" s="2">
        <v>206063</v>
      </c>
      <c r="Z76" s="2">
        <v>206063</v>
      </c>
      <c r="AA76" s="2">
        <v>205275</v>
      </c>
      <c r="AB76" s="2">
        <v>205275</v>
      </c>
      <c r="AC76" s="2">
        <v>205275</v>
      </c>
      <c r="AD76" s="2">
        <v>205275</v>
      </c>
      <c r="AE76" s="2">
        <v>205275</v>
      </c>
      <c r="AF76" s="2">
        <v>205275</v>
      </c>
      <c r="AG76" s="2">
        <v>205275</v>
      </c>
      <c r="AH76" s="2">
        <f t="shared" si="24"/>
        <v>205275</v>
      </c>
      <c r="AI76" s="2">
        <v>205275</v>
      </c>
      <c r="AJ76" s="2">
        <v>205275</v>
      </c>
      <c r="AK76" s="2">
        <v>205275</v>
      </c>
    </row>
    <row r="77" spans="1:37" x14ac:dyDescent="0.2">
      <c r="A77" s="3">
        <v>1988</v>
      </c>
      <c r="B77" s="3">
        <v>3</v>
      </c>
      <c r="C77" s="2">
        <v>312467</v>
      </c>
      <c r="D77" s="2">
        <v>312467</v>
      </c>
      <c r="E77" s="2">
        <v>312467</v>
      </c>
      <c r="F77" s="2">
        <v>312467</v>
      </c>
      <c r="G77" s="2">
        <v>312467</v>
      </c>
      <c r="H77" s="2">
        <v>312467</v>
      </c>
      <c r="I77" s="2">
        <v>312467</v>
      </c>
      <c r="J77" s="52">
        <f t="shared" si="23"/>
        <v>394703.1768309364</v>
      </c>
      <c r="K77" s="2">
        <v>401384</v>
      </c>
      <c r="L77" s="2">
        <v>401384</v>
      </c>
      <c r="M77" s="2">
        <v>401096</v>
      </c>
      <c r="N77" s="2">
        <v>401096</v>
      </c>
      <c r="O77" s="2">
        <v>401096</v>
      </c>
      <c r="P77" s="2">
        <v>401096</v>
      </c>
      <c r="Q77" s="2">
        <v>401096</v>
      </c>
      <c r="R77" s="2">
        <v>401295</v>
      </c>
      <c r="S77" s="2">
        <v>401295</v>
      </c>
      <c r="T77" s="2">
        <v>401295</v>
      </c>
      <c r="U77" s="2">
        <v>401295</v>
      </c>
      <c r="V77" s="2">
        <v>207252</v>
      </c>
      <c r="W77" s="2">
        <v>207252</v>
      </c>
      <c r="X77" s="2">
        <v>207252</v>
      </c>
      <c r="Y77" s="2">
        <v>207252</v>
      </c>
      <c r="Z77" s="2">
        <v>207252</v>
      </c>
      <c r="AA77" s="2">
        <v>206999</v>
      </c>
      <c r="AB77" s="2">
        <v>206999</v>
      </c>
      <c r="AC77" s="2">
        <v>206999</v>
      </c>
      <c r="AD77" s="2">
        <v>206999</v>
      </c>
      <c r="AE77" s="2">
        <v>206999</v>
      </c>
      <c r="AF77" s="2">
        <v>206999</v>
      </c>
      <c r="AG77" s="2">
        <v>206999</v>
      </c>
      <c r="AH77" s="2">
        <f t="shared" si="24"/>
        <v>206999</v>
      </c>
      <c r="AI77" s="2">
        <v>206999</v>
      </c>
      <c r="AJ77" s="2">
        <v>206999</v>
      </c>
      <c r="AK77" s="2">
        <v>206999</v>
      </c>
    </row>
    <row r="78" spans="1:37" x14ac:dyDescent="0.2">
      <c r="A78" s="3">
        <v>1988</v>
      </c>
      <c r="B78" s="3">
        <v>4</v>
      </c>
      <c r="C78" s="2">
        <v>315470</v>
      </c>
      <c r="D78" s="2">
        <v>315470</v>
      </c>
      <c r="E78" s="2">
        <v>315470</v>
      </c>
      <c r="F78" s="2">
        <v>315470</v>
      </c>
      <c r="G78" s="2">
        <v>315470</v>
      </c>
      <c r="H78" s="2">
        <v>315470</v>
      </c>
      <c r="I78" s="2">
        <v>315470</v>
      </c>
      <c r="J78" s="52">
        <f t="shared" si="23"/>
        <v>398536.29669442622</v>
      </c>
      <c r="K78" s="2">
        <v>405282</v>
      </c>
      <c r="L78" s="2">
        <v>405282</v>
      </c>
      <c r="M78" s="2">
        <v>405850</v>
      </c>
      <c r="N78" s="2">
        <v>405850</v>
      </c>
      <c r="O78" s="2">
        <v>405850</v>
      </c>
      <c r="P78" s="2">
        <v>405850</v>
      </c>
      <c r="Q78" s="2">
        <v>405850</v>
      </c>
      <c r="R78" s="2">
        <v>403842</v>
      </c>
      <c r="S78" s="2">
        <v>403842</v>
      </c>
      <c r="T78" s="2">
        <v>403842</v>
      </c>
      <c r="U78" s="2">
        <v>403842</v>
      </c>
      <c r="V78" s="2">
        <v>208567</v>
      </c>
      <c r="W78" s="2">
        <v>208567</v>
      </c>
      <c r="X78" s="2">
        <v>208567</v>
      </c>
      <c r="Y78" s="2">
        <v>208567</v>
      </c>
      <c r="Z78" s="2">
        <v>208567</v>
      </c>
      <c r="AA78" s="2">
        <v>209734</v>
      </c>
      <c r="AB78" s="2">
        <v>209734</v>
      </c>
      <c r="AC78" s="2">
        <v>209734</v>
      </c>
      <c r="AD78" s="2">
        <v>209734</v>
      </c>
      <c r="AE78" s="2">
        <v>209734</v>
      </c>
      <c r="AF78" s="2">
        <v>209734</v>
      </c>
      <c r="AG78" s="2">
        <v>209734</v>
      </c>
      <c r="AH78" s="2">
        <f t="shared" si="24"/>
        <v>209734</v>
      </c>
      <c r="AI78" s="2">
        <v>209734</v>
      </c>
      <c r="AJ78" s="2">
        <v>209734</v>
      </c>
      <c r="AK78" s="2">
        <v>209734</v>
      </c>
    </row>
    <row r="79" spans="1:37" x14ac:dyDescent="0.2">
      <c r="A79" s="3">
        <v>1989</v>
      </c>
      <c r="B79" s="3">
        <v>1</v>
      </c>
      <c r="C79" s="2">
        <v>317377</v>
      </c>
      <c r="D79" s="2">
        <v>317377</v>
      </c>
      <c r="E79" s="2">
        <v>317377</v>
      </c>
      <c r="F79" s="2">
        <v>317377</v>
      </c>
      <c r="G79" s="2">
        <v>317377</v>
      </c>
      <c r="H79" s="2">
        <v>317377</v>
      </c>
      <c r="I79" s="2">
        <v>317377</v>
      </c>
      <c r="J79" s="52">
        <f t="shared" si="23"/>
        <v>400857.01574979717</v>
      </c>
      <c r="K79" s="2">
        <v>407642</v>
      </c>
      <c r="L79" s="2">
        <v>407642</v>
      </c>
      <c r="M79" s="2">
        <v>407584</v>
      </c>
      <c r="N79" s="2">
        <v>407584</v>
      </c>
      <c r="O79" s="2">
        <v>407584</v>
      </c>
      <c r="P79" s="2">
        <v>407584</v>
      </c>
      <c r="Q79" s="2">
        <v>407584</v>
      </c>
      <c r="R79" s="2">
        <v>407555</v>
      </c>
      <c r="S79" s="2">
        <v>407555</v>
      </c>
      <c r="T79" s="2">
        <v>407555</v>
      </c>
      <c r="U79" s="2">
        <v>407555</v>
      </c>
      <c r="V79" s="2">
        <v>210485</v>
      </c>
      <c r="W79" s="2">
        <v>210485</v>
      </c>
      <c r="X79" s="2">
        <v>210485</v>
      </c>
      <c r="Y79" s="2">
        <v>210485</v>
      </c>
      <c r="Z79" s="2">
        <v>210485</v>
      </c>
      <c r="AA79" s="2">
        <v>210479</v>
      </c>
      <c r="AB79" s="2">
        <v>210479</v>
      </c>
      <c r="AC79" s="2">
        <v>210479</v>
      </c>
      <c r="AD79" s="2">
        <v>210479</v>
      </c>
      <c r="AE79" s="2">
        <v>210479</v>
      </c>
      <c r="AF79" s="2">
        <v>210479</v>
      </c>
      <c r="AG79" s="2">
        <v>210479</v>
      </c>
      <c r="AH79" s="2">
        <f t="shared" si="24"/>
        <v>210479</v>
      </c>
      <c r="AI79" s="2">
        <v>210479</v>
      </c>
      <c r="AJ79" s="2">
        <v>210479</v>
      </c>
      <c r="AK79" s="2">
        <v>210479</v>
      </c>
    </row>
    <row r="80" spans="1:37" x14ac:dyDescent="0.2">
      <c r="A80" s="3">
        <v>1989</v>
      </c>
      <c r="B80" s="3">
        <v>2</v>
      </c>
      <c r="C80" s="2">
        <v>319084</v>
      </c>
      <c r="D80" s="2">
        <v>319084</v>
      </c>
      <c r="E80" s="2">
        <v>319084</v>
      </c>
      <c r="F80" s="2">
        <v>319084</v>
      </c>
      <c r="G80" s="2">
        <v>319084</v>
      </c>
      <c r="H80" s="2">
        <v>319084</v>
      </c>
      <c r="I80" s="2">
        <v>319084</v>
      </c>
      <c r="J80" s="52">
        <f t="shared" si="23"/>
        <v>403153.15091686969</v>
      </c>
      <c r="K80" s="2">
        <v>409977</v>
      </c>
      <c r="L80" s="2">
        <v>409977</v>
      </c>
      <c r="M80" s="2">
        <v>410153</v>
      </c>
      <c r="N80" s="2">
        <v>410153</v>
      </c>
      <c r="O80" s="2">
        <v>410153</v>
      </c>
      <c r="P80" s="2">
        <v>410153</v>
      </c>
      <c r="Q80" s="2">
        <v>410153</v>
      </c>
      <c r="R80" s="2">
        <v>409723</v>
      </c>
      <c r="S80" s="2">
        <v>409723</v>
      </c>
      <c r="T80" s="2">
        <v>409723</v>
      </c>
      <c r="U80" s="2">
        <v>409723</v>
      </c>
      <c r="V80" s="2">
        <v>211604</v>
      </c>
      <c r="W80" s="2">
        <v>211604</v>
      </c>
      <c r="X80" s="2">
        <v>211604</v>
      </c>
      <c r="Y80" s="2">
        <v>211604</v>
      </c>
      <c r="Z80" s="2">
        <v>211604</v>
      </c>
      <c r="AA80" s="2">
        <v>211203</v>
      </c>
      <c r="AB80" s="2">
        <v>211203</v>
      </c>
      <c r="AC80" s="2">
        <v>211203</v>
      </c>
      <c r="AD80" s="2">
        <v>211203</v>
      </c>
      <c r="AE80" s="2">
        <v>211203</v>
      </c>
      <c r="AF80" s="2">
        <v>211203</v>
      </c>
      <c r="AG80" s="2">
        <v>211203</v>
      </c>
      <c r="AH80" s="2">
        <f t="shared" si="24"/>
        <v>211203</v>
      </c>
      <c r="AI80" s="2">
        <v>211203</v>
      </c>
      <c r="AJ80" s="2">
        <v>211203</v>
      </c>
      <c r="AK80" s="2">
        <v>211203</v>
      </c>
    </row>
    <row r="81" spans="1:37" x14ac:dyDescent="0.2">
      <c r="A81" s="3">
        <v>1989</v>
      </c>
      <c r="B81" s="3">
        <v>3</v>
      </c>
      <c r="C81" s="2">
        <v>321280</v>
      </c>
      <c r="D81" s="2">
        <v>321280</v>
      </c>
      <c r="E81" s="2">
        <v>321280</v>
      </c>
      <c r="F81" s="2">
        <v>321280</v>
      </c>
      <c r="G81" s="2">
        <v>321280</v>
      </c>
      <c r="H81" s="2">
        <v>321280</v>
      </c>
      <c r="I81" s="2">
        <v>321280</v>
      </c>
      <c r="J81" s="52">
        <f t="shared" si="23"/>
        <v>405121.82869180723</v>
      </c>
      <c r="K81" s="2">
        <v>411979</v>
      </c>
      <c r="L81" s="2">
        <v>411979</v>
      </c>
      <c r="M81" s="2">
        <v>411996</v>
      </c>
      <c r="N81" s="2">
        <v>411996</v>
      </c>
      <c r="O81" s="2">
        <v>411996</v>
      </c>
      <c r="P81" s="2">
        <v>411996</v>
      </c>
      <c r="Q81" s="2">
        <v>411996</v>
      </c>
      <c r="R81" s="2">
        <v>412054</v>
      </c>
      <c r="S81" s="2">
        <v>412054</v>
      </c>
      <c r="T81" s="2">
        <v>412054</v>
      </c>
      <c r="U81" s="2">
        <v>412054</v>
      </c>
      <c r="V81" s="2">
        <v>212808</v>
      </c>
      <c r="W81" s="2">
        <v>212808</v>
      </c>
      <c r="X81" s="2">
        <v>212808</v>
      </c>
      <c r="Y81" s="2">
        <v>212808</v>
      </c>
      <c r="Z81" s="2">
        <v>212808</v>
      </c>
      <c r="AA81" s="2">
        <v>212548</v>
      </c>
      <c r="AB81" s="2">
        <v>212548</v>
      </c>
      <c r="AC81" s="2">
        <v>212548</v>
      </c>
      <c r="AD81" s="2">
        <v>212548</v>
      </c>
      <c r="AE81" s="2">
        <v>212548</v>
      </c>
      <c r="AF81" s="2">
        <v>212548</v>
      </c>
      <c r="AG81" s="2">
        <v>212548</v>
      </c>
      <c r="AH81" s="2">
        <f t="shared" si="24"/>
        <v>212548</v>
      </c>
      <c r="AI81" s="2">
        <v>212548</v>
      </c>
      <c r="AJ81" s="2">
        <v>212548</v>
      </c>
      <c r="AK81" s="2">
        <v>212548</v>
      </c>
    </row>
    <row r="82" spans="1:37" x14ac:dyDescent="0.2">
      <c r="A82" s="3">
        <v>1989</v>
      </c>
      <c r="B82" s="3">
        <v>4</v>
      </c>
      <c r="C82" s="2">
        <v>325165</v>
      </c>
      <c r="D82" s="2">
        <v>325165</v>
      </c>
      <c r="E82" s="2">
        <v>325165</v>
      </c>
      <c r="F82" s="2">
        <v>325165</v>
      </c>
      <c r="G82" s="2">
        <v>325165</v>
      </c>
      <c r="H82" s="2">
        <v>325165</v>
      </c>
      <c r="I82" s="2">
        <v>325165</v>
      </c>
      <c r="J82" s="52">
        <f t="shared" si="23"/>
        <v>408885.13031252951</v>
      </c>
      <c r="K82" s="2">
        <v>415806</v>
      </c>
      <c r="L82" s="2">
        <v>415806</v>
      </c>
      <c r="M82" s="2">
        <v>415670</v>
      </c>
      <c r="N82" s="2">
        <v>415670</v>
      </c>
      <c r="O82" s="2">
        <v>415670</v>
      </c>
      <c r="P82" s="2">
        <v>415670</v>
      </c>
      <c r="Q82" s="2">
        <v>415670</v>
      </c>
      <c r="R82" s="2">
        <v>416071</v>
      </c>
      <c r="S82" s="2">
        <v>416071</v>
      </c>
      <c r="T82" s="2">
        <v>416071</v>
      </c>
      <c r="U82" s="2">
        <v>416071</v>
      </c>
      <c r="V82" s="2">
        <v>214883</v>
      </c>
      <c r="W82" s="2">
        <v>214883</v>
      </c>
      <c r="X82" s="2">
        <v>214883</v>
      </c>
      <c r="Y82" s="2">
        <v>214883</v>
      </c>
      <c r="Z82" s="2">
        <v>214883</v>
      </c>
      <c r="AA82" s="2">
        <v>216071</v>
      </c>
      <c r="AB82" s="2">
        <v>216071</v>
      </c>
      <c r="AC82" s="2">
        <v>216071</v>
      </c>
      <c r="AD82" s="2">
        <v>216071</v>
      </c>
      <c r="AE82" s="2">
        <v>216071</v>
      </c>
      <c r="AF82" s="2">
        <v>216071</v>
      </c>
      <c r="AG82" s="2">
        <v>216071</v>
      </c>
      <c r="AH82" s="2">
        <f t="shared" si="24"/>
        <v>216071</v>
      </c>
      <c r="AI82" s="2">
        <v>216071</v>
      </c>
      <c r="AJ82" s="2">
        <v>216071</v>
      </c>
      <c r="AK82" s="2">
        <v>216071</v>
      </c>
    </row>
    <row r="83" spans="1:37" x14ac:dyDescent="0.2">
      <c r="A83" s="3">
        <v>1990</v>
      </c>
      <c r="B83" s="3">
        <v>1</v>
      </c>
      <c r="C83" s="2">
        <v>327208</v>
      </c>
      <c r="D83" s="2">
        <v>327208</v>
      </c>
      <c r="E83" s="2">
        <v>327208</v>
      </c>
      <c r="F83" s="2">
        <v>327208</v>
      </c>
      <c r="G83" s="2">
        <v>327208</v>
      </c>
      <c r="H83" s="2">
        <v>327208</v>
      </c>
      <c r="I83" s="2">
        <v>327208</v>
      </c>
      <c r="J83" s="52">
        <f t="shared" si="23"/>
        <v>411846.01381919131</v>
      </c>
      <c r="K83" s="2">
        <v>418817</v>
      </c>
      <c r="L83" s="2">
        <v>418817</v>
      </c>
      <c r="M83" s="2">
        <v>418705</v>
      </c>
      <c r="N83" s="2">
        <v>418705</v>
      </c>
      <c r="O83" s="2">
        <v>418705</v>
      </c>
      <c r="P83" s="2">
        <v>418705</v>
      </c>
      <c r="Q83" s="2">
        <v>418705</v>
      </c>
      <c r="R83" s="2">
        <v>419627</v>
      </c>
      <c r="S83" s="2">
        <v>419627</v>
      </c>
      <c r="T83" s="2">
        <v>419627</v>
      </c>
      <c r="U83" s="2">
        <v>419627</v>
      </c>
      <c r="V83" s="2">
        <v>216719</v>
      </c>
      <c r="W83" s="2">
        <v>216719</v>
      </c>
      <c r="X83" s="2">
        <v>216719</v>
      </c>
      <c r="Y83" s="2">
        <v>216719</v>
      </c>
      <c r="Z83" s="2">
        <v>216719</v>
      </c>
      <c r="AA83" s="2">
        <v>216721</v>
      </c>
      <c r="AB83" s="2">
        <v>216721</v>
      </c>
      <c r="AC83" s="2">
        <v>216721</v>
      </c>
      <c r="AD83" s="2">
        <v>216721</v>
      </c>
      <c r="AE83" s="2">
        <v>216721</v>
      </c>
      <c r="AF83" s="2">
        <v>216721</v>
      </c>
      <c r="AG83" s="2">
        <v>216721</v>
      </c>
      <c r="AH83" s="2">
        <f t="shared" si="24"/>
        <v>216721</v>
      </c>
      <c r="AI83" s="2">
        <v>216721</v>
      </c>
      <c r="AJ83" s="2">
        <v>216721</v>
      </c>
      <c r="AK83" s="2">
        <v>216721</v>
      </c>
    </row>
    <row r="84" spans="1:37" x14ac:dyDescent="0.2">
      <c r="A84" s="3">
        <v>1990</v>
      </c>
      <c r="B84" s="3">
        <v>2</v>
      </c>
      <c r="C84" s="2">
        <v>327324</v>
      </c>
      <c r="D84" s="2">
        <v>327324</v>
      </c>
      <c r="E84" s="2">
        <v>327324</v>
      </c>
      <c r="F84" s="2">
        <v>327324</v>
      </c>
      <c r="G84" s="2">
        <v>327324</v>
      </c>
      <c r="H84" s="2">
        <v>327324</v>
      </c>
      <c r="I84" s="2">
        <v>327324</v>
      </c>
      <c r="J84" s="52">
        <f t="shared" si="23"/>
        <v>413055.54112347367</v>
      </c>
      <c r="K84" s="2">
        <v>420047</v>
      </c>
      <c r="L84" s="2">
        <v>420047</v>
      </c>
      <c r="M84" s="2">
        <v>419923</v>
      </c>
      <c r="N84" s="2">
        <v>419923</v>
      </c>
      <c r="O84" s="2">
        <v>419923</v>
      </c>
      <c r="P84" s="2">
        <v>419923</v>
      </c>
      <c r="Q84" s="2">
        <v>419923</v>
      </c>
      <c r="R84" s="2">
        <v>419778</v>
      </c>
      <c r="S84" s="2">
        <v>419778</v>
      </c>
      <c r="T84" s="2">
        <v>419778</v>
      </c>
      <c r="U84" s="2">
        <v>419778</v>
      </c>
      <c r="V84" s="2">
        <v>216797</v>
      </c>
      <c r="W84" s="2">
        <v>216797</v>
      </c>
      <c r="X84" s="2">
        <v>216797</v>
      </c>
      <c r="Y84" s="2">
        <v>216797</v>
      </c>
      <c r="Z84" s="2">
        <v>216797</v>
      </c>
      <c r="AA84" s="2">
        <v>216789</v>
      </c>
      <c r="AB84" s="2">
        <v>216789</v>
      </c>
      <c r="AC84" s="2">
        <v>216789</v>
      </c>
      <c r="AD84" s="2">
        <v>216789</v>
      </c>
      <c r="AE84" s="2">
        <v>216789</v>
      </c>
      <c r="AF84" s="2">
        <v>216789</v>
      </c>
      <c r="AG84" s="2">
        <v>216789</v>
      </c>
      <c r="AH84" s="2">
        <f t="shared" si="24"/>
        <v>216789</v>
      </c>
      <c r="AI84" s="2">
        <v>216789</v>
      </c>
      <c r="AJ84" s="2">
        <v>216789</v>
      </c>
      <c r="AK84" s="2">
        <v>216789</v>
      </c>
    </row>
    <row r="85" spans="1:37" x14ac:dyDescent="0.2">
      <c r="A85" s="3">
        <v>1990</v>
      </c>
      <c r="B85" s="3">
        <v>3</v>
      </c>
      <c r="C85" s="2">
        <v>328675</v>
      </c>
      <c r="D85" s="2">
        <v>328675</v>
      </c>
      <c r="E85" s="2">
        <v>328675</v>
      </c>
      <c r="F85" s="2">
        <v>328675</v>
      </c>
      <c r="G85" s="2">
        <v>328675</v>
      </c>
      <c r="H85" s="2">
        <v>328675</v>
      </c>
      <c r="I85" s="2">
        <v>328675</v>
      </c>
      <c r="J85" s="52">
        <f t="shared" si="23"/>
        <v>414653.49386287102</v>
      </c>
      <c r="K85" s="2">
        <v>421672</v>
      </c>
      <c r="L85" s="2">
        <v>421672</v>
      </c>
      <c r="M85" s="2">
        <v>421305</v>
      </c>
      <c r="N85" s="2">
        <v>421305</v>
      </c>
      <c r="O85" s="2">
        <v>421305</v>
      </c>
      <c r="P85" s="2">
        <v>421305</v>
      </c>
      <c r="Q85" s="2">
        <v>421305</v>
      </c>
      <c r="R85" s="2">
        <v>421394</v>
      </c>
      <c r="S85" s="2">
        <v>421394</v>
      </c>
      <c r="T85" s="2">
        <v>421394</v>
      </c>
      <c r="U85" s="2">
        <v>421394</v>
      </c>
      <c r="V85" s="2">
        <v>217632</v>
      </c>
      <c r="W85" s="2">
        <v>217632</v>
      </c>
      <c r="X85" s="2">
        <v>217632</v>
      </c>
      <c r="Y85" s="2">
        <v>217632</v>
      </c>
      <c r="Z85" s="2">
        <v>217632</v>
      </c>
      <c r="AA85" s="2">
        <v>217668</v>
      </c>
      <c r="AB85" s="2">
        <v>217668</v>
      </c>
      <c r="AC85" s="2">
        <v>217668</v>
      </c>
      <c r="AD85" s="2">
        <v>217668</v>
      </c>
      <c r="AE85" s="2">
        <v>217668</v>
      </c>
      <c r="AF85" s="2">
        <v>217668</v>
      </c>
      <c r="AG85" s="2">
        <v>217668</v>
      </c>
      <c r="AH85" s="2">
        <f t="shared" si="24"/>
        <v>217668</v>
      </c>
      <c r="AI85" s="2">
        <v>217668</v>
      </c>
      <c r="AJ85" s="2">
        <v>217668</v>
      </c>
      <c r="AK85" s="2">
        <v>217668</v>
      </c>
    </row>
    <row r="86" spans="1:37" x14ac:dyDescent="0.2">
      <c r="A86" s="3">
        <v>1990</v>
      </c>
      <c r="B86" s="3">
        <v>4</v>
      </c>
      <c r="C86" s="2">
        <v>327451</v>
      </c>
      <c r="D86" s="2">
        <v>327451</v>
      </c>
      <c r="E86" s="2">
        <v>327451</v>
      </c>
      <c r="F86" s="2">
        <v>327451</v>
      </c>
      <c r="G86" s="2">
        <v>327451</v>
      </c>
      <c r="H86" s="2">
        <v>327451</v>
      </c>
      <c r="I86" s="2">
        <v>327451</v>
      </c>
      <c r="J86" s="52">
        <f t="shared" si="23"/>
        <v>410402.44789830805</v>
      </c>
      <c r="K86" s="2">
        <v>417349</v>
      </c>
      <c r="L86" s="2">
        <v>417349</v>
      </c>
      <c r="M86" s="2">
        <v>417952</v>
      </c>
      <c r="N86" s="2">
        <v>417952</v>
      </c>
      <c r="O86" s="2">
        <v>417952</v>
      </c>
      <c r="P86" s="2">
        <v>417952</v>
      </c>
      <c r="Q86" s="2">
        <v>417952</v>
      </c>
      <c r="R86" s="2">
        <v>417086</v>
      </c>
      <c r="S86" s="2">
        <v>417086</v>
      </c>
      <c r="T86" s="2">
        <v>417086</v>
      </c>
      <c r="U86" s="2">
        <v>417086</v>
      </c>
      <c r="V86" s="2">
        <v>215407</v>
      </c>
      <c r="W86" s="2">
        <v>215407</v>
      </c>
      <c r="X86" s="2">
        <v>215407</v>
      </c>
      <c r="Y86" s="2">
        <v>215407</v>
      </c>
      <c r="Z86" s="2">
        <v>215407</v>
      </c>
      <c r="AA86" s="2">
        <v>215301</v>
      </c>
      <c r="AB86" s="2">
        <v>215301</v>
      </c>
      <c r="AC86" s="2">
        <v>215301</v>
      </c>
      <c r="AD86" s="2">
        <v>215301</v>
      </c>
      <c r="AE86" s="2">
        <v>215301</v>
      </c>
      <c r="AF86" s="2">
        <v>215301</v>
      </c>
      <c r="AG86" s="2">
        <v>215301</v>
      </c>
      <c r="AH86" s="2">
        <f t="shared" si="24"/>
        <v>215301</v>
      </c>
      <c r="AI86" s="2">
        <v>215301</v>
      </c>
      <c r="AJ86" s="2">
        <v>215301</v>
      </c>
      <c r="AK86" s="2">
        <v>215301</v>
      </c>
    </row>
    <row r="87" spans="1:37" x14ac:dyDescent="0.2">
      <c r="A87" s="3">
        <v>1991</v>
      </c>
      <c r="B87" s="3">
        <v>1</v>
      </c>
      <c r="C87" s="2">
        <v>329180</v>
      </c>
      <c r="D87" s="2">
        <v>329180</v>
      </c>
      <c r="E87" s="2">
        <v>329180</v>
      </c>
      <c r="F87" s="2">
        <v>329180</v>
      </c>
      <c r="G87" s="2">
        <v>329180</v>
      </c>
      <c r="H87" s="2">
        <v>329180</v>
      </c>
      <c r="I87" s="2">
        <v>329180</v>
      </c>
      <c r="J87" s="52">
        <f t="shared" si="23"/>
        <v>415420.51117778174</v>
      </c>
      <c r="K87" s="2">
        <v>422452</v>
      </c>
      <c r="L87" s="2">
        <v>422452</v>
      </c>
      <c r="M87" s="2">
        <v>422150</v>
      </c>
      <c r="N87" s="2">
        <v>422150</v>
      </c>
      <c r="O87" s="2">
        <v>422150</v>
      </c>
      <c r="P87" s="2">
        <v>422150</v>
      </c>
      <c r="Q87" s="2">
        <v>422150</v>
      </c>
      <c r="R87" s="2">
        <v>423310</v>
      </c>
      <c r="S87" s="2">
        <v>423310</v>
      </c>
      <c r="T87" s="2">
        <v>423310</v>
      </c>
      <c r="U87" s="2">
        <v>423310</v>
      </c>
      <c r="V87" s="2">
        <v>218622</v>
      </c>
      <c r="W87" s="2">
        <v>218622</v>
      </c>
      <c r="X87" s="2">
        <v>218622</v>
      </c>
      <c r="Y87" s="2">
        <v>218622</v>
      </c>
      <c r="Z87" s="2">
        <v>218622</v>
      </c>
      <c r="AA87" s="2">
        <v>218564</v>
      </c>
      <c r="AB87" s="2">
        <v>218564</v>
      </c>
      <c r="AC87" s="2">
        <v>218564</v>
      </c>
      <c r="AD87" s="2">
        <v>218564</v>
      </c>
      <c r="AE87" s="2">
        <v>218564</v>
      </c>
      <c r="AF87" s="2">
        <v>218564</v>
      </c>
      <c r="AG87" s="2">
        <v>218564</v>
      </c>
      <c r="AH87" s="2">
        <f t="shared" si="24"/>
        <v>218564</v>
      </c>
      <c r="AI87" s="2">
        <v>218564</v>
      </c>
      <c r="AJ87" s="2">
        <v>218564</v>
      </c>
      <c r="AK87" s="2">
        <v>218564</v>
      </c>
    </row>
    <row r="88" spans="1:37" x14ac:dyDescent="0.2">
      <c r="A88" s="3">
        <v>1991</v>
      </c>
      <c r="B88" s="3">
        <v>2</v>
      </c>
      <c r="C88" s="2">
        <v>330198</v>
      </c>
      <c r="D88" s="2">
        <v>330198</v>
      </c>
      <c r="E88" s="2">
        <v>330198</v>
      </c>
      <c r="F88" s="2">
        <v>330198</v>
      </c>
      <c r="G88" s="2">
        <v>330198</v>
      </c>
      <c r="H88" s="2">
        <v>330198</v>
      </c>
      <c r="I88" s="2">
        <v>330198</v>
      </c>
      <c r="J88" s="52">
        <f t="shared" si="23"/>
        <v>416672.32276993734</v>
      </c>
      <c r="K88" s="2">
        <v>423725</v>
      </c>
      <c r="L88" s="2">
        <v>423725</v>
      </c>
      <c r="M88" s="2">
        <v>424149</v>
      </c>
      <c r="N88" s="2">
        <v>424149</v>
      </c>
      <c r="O88" s="2">
        <v>424149</v>
      </c>
      <c r="P88" s="2">
        <v>424149</v>
      </c>
      <c r="Q88" s="2">
        <v>424149</v>
      </c>
      <c r="R88" s="2">
        <v>423417</v>
      </c>
      <c r="S88" s="2">
        <v>423417</v>
      </c>
      <c r="T88" s="2">
        <v>423417</v>
      </c>
      <c r="U88" s="2">
        <v>423417</v>
      </c>
      <c r="V88" s="2">
        <v>218676</v>
      </c>
      <c r="W88" s="2">
        <v>218676</v>
      </c>
      <c r="X88" s="2">
        <v>218676</v>
      </c>
      <c r="Y88" s="2">
        <v>218676</v>
      </c>
      <c r="Z88" s="2">
        <v>218676</v>
      </c>
      <c r="AA88" s="2">
        <v>219108</v>
      </c>
      <c r="AB88" s="2">
        <v>219108</v>
      </c>
      <c r="AC88" s="2">
        <v>219108</v>
      </c>
      <c r="AD88" s="2">
        <v>219108</v>
      </c>
      <c r="AE88" s="2">
        <v>219108</v>
      </c>
      <c r="AF88" s="2">
        <v>219108</v>
      </c>
      <c r="AG88" s="2">
        <v>219108</v>
      </c>
      <c r="AH88" s="2">
        <f t="shared" si="24"/>
        <v>219108</v>
      </c>
      <c r="AI88" s="2">
        <v>219108</v>
      </c>
      <c r="AJ88" s="2">
        <v>219108</v>
      </c>
      <c r="AK88" s="2">
        <v>219108</v>
      </c>
    </row>
    <row r="89" spans="1:37" x14ac:dyDescent="0.2">
      <c r="A89" s="3">
        <v>1991</v>
      </c>
      <c r="B89" s="3">
        <v>3</v>
      </c>
      <c r="C89" s="2">
        <v>332468</v>
      </c>
      <c r="D89" s="2">
        <v>332468</v>
      </c>
      <c r="E89" s="2">
        <v>332468</v>
      </c>
      <c r="F89" s="2">
        <v>332468</v>
      </c>
      <c r="G89" s="2">
        <v>332468</v>
      </c>
      <c r="H89" s="2">
        <v>332468</v>
      </c>
      <c r="I89" s="2">
        <v>332468</v>
      </c>
      <c r="J89" s="52">
        <f t="shared" si="23"/>
        <v>419186.76286509982</v>
      </c>
      <c r="K89" s="2">
        <v>426282</v>
      </c>
      <c r="L89" s="2">
        <v>426282</v>
      </c>
      <c r="M89" s="2">
        <v>426204</v>
      </c>
      <c r="N89" s="2">
        <v>426204</v>
      </c>
      <c r="O89" s="2">
        <v>426204</v>
      </c>
      <c r="P89" s="2">
        <v>426204</v>
      </c>
      <c r="Q89" s="2">
        <v>426204</v>
      </c>
      <c r="R89" s="2">
        <v>426081</v>
      </c>
      <c r="S89" s="2">
        <v>426081</v>
      </c>
      <c r="T89" s="2">
        <v>426081</v>
      </c>
      <c r="U89" s="2">
        <v>426081</v>
      </c>
      <c r="V89" s="2">
        <v>220053</v>
      </c>
      <c r="W89" s="2">
        <v>220053</v>
      </c>
      <c r="X89" s="2">
        <v>220053</v>
      </c>
      <c r="Y89" s="2">
        <v>220053</v>
      </c>
      <c r="Z89" s="2">
        <v>220053</v>
      </c>
      <c r="AA89" s="2">
        <v>219662</v>
      </c>
      <c r="AB89" s="2">
        <v>219662</v>
      </c>
      <c r="AC89" s="2">
        <v>219662</v>
      </c>
      <c r="AD89" s="2">
        <v>219662</v>
      </c>
      <c r="AE89" s="2">
        <v>219662</v>
      </c>
      <c r="AF89" s="2">
        <v>219662</v>
      </c>
      <c r="AG89" s="2">
        <v>219662</v>
      </c>
      <c r="AH89" s="2">
        <f t="shared" si="24"/>
        <v>219662</v>
      </c>
      <c r="AI89" s="2">
        <v>219662</v>
      </c>
      <c r="AJ89" s="2">
        <v>219662</v>
      </c>
      <c r="AK89" s="2">
        <v>219662</v>
      </c>
    </row>
    <row r="90" spans="1:37" x14ac:dyDescent="0.2">
      <c r="A90" s="3">
        <v>1991</v>
      </c>
      <c r="B90" s="3">
        <v>4</v>
      </c>
      <c r="C90" s="2">
        <v>333736</v>
      </c>
      <c r="D90" s="2">
        <v>333736</v>
      </c>
      <c r="E90" s="2">
        <v>333736</v>
      </c>
      <c r="F90" s="2">
        <v>333736</v>
      </c>
      <c r="G90" s="2">
        <v>333736</v>
      </c>
      <c r="H90" s="2">
        <v>333736</v>
      </c>
      <c r="I90" s="2">
        <v>333736</v>
      </c>
      <c r="J90" s="52">
        <f t="shared" si="23"/>
        <v>421614.66767345188</v>
      </c>
      <c r="K90" s="2">
        <v>428751</v>
      </c>
      <c r="L90" s="2">
        <v>428751</v>
      </c>
      <c r="M90" s="2">
        <v>428708</v>
      </c>
      <c r="N90" s="2">
        <v>428708</v>
      </c>
      <c r="O90" s="2">
        <v>428708</v>
      </c>
      <c r="P90" s="2">
        <v>428708</v>
      </c>
      <c r="Q90" s="2">
        <v>428708</v>
      </c>
      <c r="R90" s="2">
        <v>428402</v>
      </c>
      <c r="S90" s="2">
        <v>428402</v>
      </c>
      <c r="T90" s="2">
        <v>428402</v>
      </c>
      <c r="U90" s="2">
        <v>428402</v>
      </c>
      <c r="V90" s="2">
        <v>221251</v>
      </c>
      <c r="W90" s="2">
        <v>221251</v>
      </c>
      <c r="X90" s="2">
        <v>221251</v>
      </c>
      <c r="Y90" s="2">
        <v>221251</v>
      </c>
      <c r="Z90" s="2">
        <v>221251</v>
      </c>
      <c r="AA90" s="2">
        <v>221244</v>
      </c>
      <c r="AB90" s="2">
        <v>221244</v>
      </c>
      <c r="AC90" s="2">
        <v>221244</v>
      </c>
      <c r="AD90" s="2">
        <v>221244</v>
      </c>
      <c r="AE90" s="2">
        <v>221244</v>
      </c>
      <c r="AF90" s="2">
        <v>221244</v>
      </c>
      <c r="AG90" s="2">
        <v>221244</v>
      </c>
      <c r="AH90" s="2">
        <f t="shared" si="24"/>
        <v>221244</v>
      </c>
      <c r="AI90" s="2">
        <v>221244</v>
      </c>
      <c r="AJ90" s="2">
        <v>221244</v>
      </c>
      <c r="AK90" s="2">
        <v>221244</v>
      </c>
    </row>
    <row r="91" spans="1:37" x14ac:dyDescent="0.2">
      <c r="A91" s="3">
        <v>1992</v>
      </c>
      <c r="B91" s="3">
        <v>1</v>
      </c>
      <c r="C91" s="2">
        <v>334389</v>
      </c>
      <c r="D91" s="2">
        <v>334389</v>
      </c>
      <c r="E91" s="2">
        <v>334389</v>
      </c>
      <c r="F91" s="2">
        <v>334389</v>
      </c>
      <c r="G91" s="2">
        <v>334389</v>
      </c>
      <c r="H91" s="2">
        <v>334389</v>
      </c>
      <c r="I91" s="2">
        <v>334389</v>
      </c>
      <c r="J91" s="52">
        <f t="shared" si="23"/>
        <v>423220.48725710477</v>
      </c>
      <c r="K91" s="2">
        <v>430384</v>
      </c>
      <c r="L91" s="2">
        <v>430384</v>
      </c>
      <c r="M91" s="2">
        <v>430090</v>
      </c>
      <c r="N91" s="2">
        <v>430090</v>
      </c>
      <c r="O91" s="2">
        <v>430090</v>
      </c>
      <c r="P91" s="2">
        <v>430090</v>
      </c>
      <c r="Q91" s="2">
        <v>430090</v>
      </c>
      <c r="R91" s="2">
        <v>430646</v>
      </c>
      <c r="S91" s="2">
        <v>430646</v>
      </c>
      <c r="T91" s="2">
        <v>430646</v>
      </c>
      <c r="U91" s="2">
        <v>430646</v>
      </c>
      <c r="V91" s="2">
        <v>222410</v>
      </c>
      <c r="W91" s="2">
        <v>222410</v>
      </c>
      <c r="X91" s="2">
        <v>222410</v>
      </c>
      <c r="Y91" s="2">
        <v>222410</v>
      </c>
      <c r="Z91" s="2">
        <v>222410</v>
      </c>
      <c r="AA91" s="2">
        <v>223247</v>
      </c>
      <c r="AB91" s="2">
        <v>223247</v>
      </c>
      <c r="AC91" s="2">
        <v>223247</v>
      </c>
      <c r="AD91" s="2">
        <v>223247</v>
      </c>
      <c r="AE91" s="2">
        <v>223247</v>
      </c>
      <c r="AF91" s="2">
        <v>223247</v>
      </c>
      <c r="AG91" s="2">
        <v>223247</v>
      </c>
      <c r="AH91" s="2">
        <f t="shared" si="24"/>
        <v>223247</v>
      </c>
      <c r="AI91" s="2">
        <v>223247</v>
      </c>
      <c r="AJ91" s="2">
        <v>223247</v>
      </c>
      <c r="AK91" s="2">
        <v>223247</v>
      </c>
    </row>
    <row r="92" spans="1:37" x14ac:dyDescent="0.2">
      <c r="A92" s="3">
        <v>1992</v>
      </c>
      <c r="B92" s="3">
        <v>2</v>
      </c>
      <c r="C92" s="2">
        <v>334639</v>
      </c>
      <c r="D92" s="2">
        <v>334639</v>
      </c>
      <c r="E92" s="2">
        <v>334639</v>
      </c>
      <c r="F92" s="2">
        <v>334639</v>
      </c>
      <c r="G92" s="2">
        <v>334639</v>
      </c>
      <c r="H92" s="2">
        <v>334639</v>
      </c>
      <c r="I92" s="2">
        <v>334639</v>
      </c>
      <c r="J92" s="52">
        <f t="shared" si="23"/>
        <v>423460.42600689735</v>
      </c>
      <c r="K92" s="2">
        <v>430628</v>
      </c>
      <c r="L92" s="2">
        <v>430628</v>
      </c>
      <c r="M92" s="2">
        <v>430996</v>
      </c>
      <c r="N92" s="2">
        <v>430996</v>
      </c>
      <c r="O92" s="2">
        <v>430996</v>
      </c>
      <c r="P92" s="2">
        <v>430996</v>
      </c>
      <c r="Q92" s="2">
        <v>430996</v>
      </c>
      <c r="R92" s="2">
        <v>430203</v>
      </c>
      <c r="S92" s="2">
        <v>430203</v>
      </c>
      <c r="T92" s="2">
        <v>430203</v>
      </c>
      <c r="U92" s="2">
        <v>430203</v>
      </c>
      <c r="V92" s="2">
        <v>222181</v>
      </c>
      <c r="W92" s="2">
        <v>222181</v>
      </c>
      <c r="X92" s="2">
        <v>222181</v>
      </c>
      <c r="Y92" s="2">
        <v>222181</v>
      </c>
      <c r="Z92" s="2">
        <v>222181</v>
      </c>
      <c r="AA92" s="2">
        <v>222596</v>
      </c>
      <c r="AB92" s="2">
        <v>222596</v>
      </c>
      <c r="AC92" s="2">
        <v>222596</v>
      </c>
      <c r="AD92" s="2">
        <v>222596</v>
      </c>
      <c r="AE92" s="2">
        <v>222596</v>
      </c>
      <c r="AF92" s="2">
        <v>222596</v>
      </c>
      <c r="AG92" s="2">
        <v>222596</v>
      </c>
      <c r="AH92" s="2">
        <f t="shared" si="24"/>
        <v>222596</v>
      </c>
      <c r="AI92" s="2">
        <v>222596</v>
      </c>
      <c r="AJ92" s="2">
        <v>222596</v>
      </c>
      <c r="AK92" s="2">
        <v>222596</v>
      </c>
    </row>
    <row r="93" spans="1:37" x14ac:dyDescent="0.2">
      <c r="A93" s="3">
        <v>1992</v>
      </c>
      <c r="B93" s="3">
        <v>3</v>
      </c>
      <c r="C93" s="2">
        <v>333022</v>
      </c>
      <c r="D93" s="2">
        <v>333022</v>
      </c>
      <c r="E93" s="2">
        <v>333022</v>
      </c>
      <c r="F93" s="2">
        <v>333022</v>
      </c>
      <c r="G93" s="2">
        <v>333022</v>
      </c>
      <c r="H93" s="2">
        <v>333022</v>
      </c>
      <c r="I93" s="2">
        <v>333022</v>
      </c>
      <c r="J93" s="52">
        <f t="shared" si="23"/>
        <v>420141.60108661052</v>
      </c>
      <c r="K93" s="2">
        <v>427253</v>
      </c>
      <c r="L93" s="2">
        <v>427253</v>
      </c>
      <c r="M93" s="2">
        <v>427391</v>
      </c>
      <c r="N93" s="2">
        <v>427391</v>
      </c>
      <c r="O93" s="2">
        <v>427391</v>
      </c>
      <c r="P93" s="2">
        <v>427391</v>
      </c>
      <c r="Q93" s="2">
        <v>427391</v>
      </c>
      <c r="R93" s="2">
        <v>427653</v>
      </c>
      <c r="S93" s="2">
        <v>427653</v>
      </c>
      <c r="T93" s="2">
        <v>427653</v>
      </c>
      <c r="U93" s="2">
        <v>427653</v>
      </c>
      <c r="V93" s="2">
        <v>220864</v>
      </c>
      <c r="W93" s="2">
        <v>220864</v>
      </c>
      <c r="X93" s="2">
        <v>220864</v>
      </c>
      <c r="Y93" s="2">
        <v>220864</v>
      </c>
      <c r="Z93" s="2">
        <v>220864</v>
      </c>
      <c r="AA93" s="2">
        <v>220065</v>
      </c>
      <c r="AB93" s="2">
        <v>220065</v>
      </c>
      <c r="AC93" s="2">
        <v>220065</v>
      </c>
      <c r="AD93" s="2">
        <v>220065</v>
      </c>
      <c r="AE93" s="2">
        <v>220065</v>
      </c>
      <c r="AF93" s="2">
        <v>220065</v>
      </c>
      <c r="AG93" s="2">
        <v>220065</v>
      </c>
      <c r="AH93" s="2">
        <f t="shared" si="24"/>
        <v>220065</v>
      </c>
      <c r="AI93" s="2">
        <v>220065</v>
      </c>
      <c r="AJ93" s="2">
        <v>220065</v>
      </c>
      <c r="AK93" s="2">
        <v>220065</v>
      </c>
    </row>
    <row r="94" spans="1:37" x14ac:dyDescent="0.2">
      <c r="A94" s="3">
        <v>1992</v>
      </c>
      <c r="B94" s="3">
        <v>4</v>
      </c>
      <c r="C94" s="2">
        <v>331022</v>
      </c>
      <c r="D94" s="2">
        <v>331022</v>
      </c>
      <c r="E94" s="2">
        <v>331022</v>
      </c>
      <c r="F94" s="2">
        <v>331022</v>
      </c>
      <c r="G94" s="2">
        <v>331022</v>
      </c>
      <c r="H94" s="2">
        <v>331022</v>
      </c>
      <c r="I94" s="2">
        <v>331022</v>
      </c>
      <c r="J94" s="52">
        <f t="shared" si="23"/>
        <v>418794.40400785703</v>
      </c>
      <c r="K94" s="2">
        <v>425883</v>
      </c>
      <c r="L94" s="2">
        <v>425883</v>
      </c>
      <c r="M94" s="2">
        <v>425672</v>
      </c>
      <c r="N94" s="2">
        <v>425672</v>
      </c>
      <c r="O94" s="2">
        <v>425672</v>
      </c>
      <c r="P94" s="2">
        <v>425672</v>
      </c>
      <c r="Q94" s="2">
        <v>425672</v>
      </c>
      <c r="R94" s="2">
        <v>425647</v>
      </c>
      <c r="S94" s="2">
        <v>425647</v>
      </c>
      <c r="T94" s="2">
        <v>425647</v>
      </c>
      <c r="U94" s="2">
        <v>425647</v>
      </c>
      <c r="V94" s="2">
        <v>219828</v>
      </c>
      <c r="W94" s="2">
        <v>219828</v>
      </c>
      <c r="X94" s="2">
        <v>219828</v>
      </c>
      <c r="Y94" s="2">
        <v>219828</v>
      </c>
      <c r="Z94" s="2">
        <v>219828</v>
      </c>
      <c r="AA94" s="2">
        <v>218808</v>
      </c>
      <c r="AB94" s="2">
        <v>218808</v>
      </c>
      <c r="AC94" s="2">
        <v>218808</v>
      </c>
      <c r="AD94" s="2">
        <v>218808</v>
      </c>
      <c r="AE94" s="2">
        <v>218808</v>
      </c>
      <c r="AF94" s="2">
        <v>218808</v>
      </c>
      <c r="AG94" s="2">
        <v>218808</v>
      </c>
      <c r="AH94" s="2">
        <f t="shared" si="24"/>
        <v>218808</v>
      </c>
      <c r="AI94" s="2">
        <v>218808</v>
      </c>
      <c r="AJ94" s="2">
        <v>218808</v>
      </c>
      <c r="AK94" s="2">
        <v>218808</v>
      </c>
    </row>
    <row r="95" spans="1:37" x14ac:dyDescent="0.2">
      <c r="A95" s="3">
        <v>1993</v>
      </c>
      <c r="B95" s="3">
        <v>1</v>
      </c>
      <c r="C95" s="2">
        <v>328964</v>
      </c>
      <c r="D95" s="2">
        <v>328964</v>
      </c>
      <c r="E95" s="2">
        <v>328964</v>
      </c>
      <c r="F95" s="2">
        <v>328964</v>
      </c>
      <c r="G95" s="2">
        <v>328964</v>
      </c>
      <c r="H95" s="2">
        <v>328964</v>
      </c>
      <c r="I95" s="2">
        <v>328964</v>
      </c>
      <c r="J95" s="52">
        <f t="shared" si="23"/>
        <v>417198.41797952354</v>
      </c>
      <c r="K95" s="2">
        <v>424260</v>
      </c>
      <c r="L95" s="2">
        <v>424260</v>
      </c>
      <c r="M95" s="2">
        <v>424206</v>
      </c>
      <c r="N95" s="2">
        <v>424206</v>
      </c>
      <c r="O95" s="2">
        <v>424206</v>
      </c>
      <c r="P95" s="2">
        <v>424206</v>
      </c>
      <c r="Q95" s="2">
        <v>424206</v>
      </c>
      <c r="R95" s="2">
        <v>423154</v>
      </c>
      <c r="S95" s="2">
        <v>423154</v>
      </c>
      <c r="T95" s="2">
        <v>423154</v>
      </c>
      <c r="U95" s="2">
        <v>423154</v>
      </c>
      <c r="V95" s="2">
        <v>218541</v>
      </c>
      <c r="W95" s="2">
        <v>218541</v>
      </c>
      <c r="X95" s="2">
        <v>218541</v>
      </c>
      <c r="Y95" s="2">
        <v>218541</v>
      </c>
      <c r="Z95" s="2">
        <v>218541</v>
      </c>
      <c r="AA95" s="2">
        <v>219178</v>
      </c>
      <c r="AB95" s="2">
        <v>219178</v>
      </c>
      <c r="AC95" s="2">
        <v>219178</v>
      </c>
      <c r="AD95" s="2">
        <v>219178</v>
      </c>
      <c r="AE95" s="2">
        <v>219178</v>
      </c>
      <c r="AF95" s="2">
        <v>219178</v>
      </c>
      <c r="AG95" s="2">
        <v>219178</v>
      </c>
      <c r="AH95" s="2">
        <f t="shared" si="24"/>
        <v>219178</v>
      </c>
      <c r="AI95" s="2">
        <v>219178</v>
      </c>
      <c r="AJ95" s="2">
        <v>219178</v>
      </c>
      <c r="AK95" s="2">
        <v>219178</v>
      </c>
    </row>
    <row r="96" spans="1:37" x14ac:dyDescent="0.2">
      <c r="A96" s="3">
        <v>1993</v>
      </c>
      <c r="B96" s="3">
        <v>2</v>
      </c>
      <c r="C96" s="2">
        <v>329224</v>
      </c>
      <c r="D96" s="2">
        <v>329224</v>
      </c>
      <c r="E96" s="2">
        <v>329224</v>
      </c>
      <c r="F96" s="2">
        <v>329175</v>
      </c>
      <c r="G96" s="2">
        <v>329175</v>
      </c>
      <c r="H96" s="2">
        <v>329175</v>
      </c>
      <c r="I96" s="2">
        <v>329175</v>
      </c>
      <c r="J96" s="52">
        <f t="shared" si="23"/>
        <v>417902.50054039032</v>
      </c>
      <c r="K96" s="2">
        <v>424976</v>
      </c>
      <c r="L96" s="2">
        <v>424976</v>
      </c>
      <c r="M96" s="2">
        <v>425271</v>
      </c>
      <c r="N96" s="2">
        <v>425271</v>
      </c>
      <c r="O96" s="2">
        <v>425271</v>
      </c>
      <c r="P96" s="2">
        <v>425271</v>
      </c>
      <c r="Q96" s="2">
        <v>425271</v>
      </c>
      <c r="R96" s="2">
        <v>424134</v>
      </c>
      <c r="S96" s="2">
        <v>424134</v>
      </c>
      <c r="T96" s="2">
        <v>424134</v>
      </c>
      <c r="U96" s="2">
        <v>424134</v>
      </c>
      <c r="V96" s="2">
        <v>219047</v>
      </c>
      <c r="W96" s="2">
        <v>219047</v>
      </c>
      <c r="X96" s="2">
        <v>219047</v>
      </c>
      <c r="Y96" s="2">
        <v>219047</v>
      </c>
      <c r="Z96" s="2">
        <v>219047</v>
      </c>
      <c r="AA96" s="2">
        <v>219498</v>
      </c>
      <c r="AB96" s="2">
        <v>219498</v>
      </c>
      <c r="AC96" s="2">
        <v>219498</v>
      </c>
      <c r="AD96" s="2">
        <v>219498</v>
      </c>
      <c r="AE96" s="2">
        <v>219498</v>
      </c>
      <c r="AF96" s="2">
        <v>219498</v>
      </c>
      <c r="AG96" s="2">
        <v>219498</v>
      </c>
      <c r="AH96" s="2">
        <f t="shared" si="24"/>
        <v>219498</v>
      </c>
      <c r="AI96" s="2">
        <v>219498</v>
      </c>
      <c r="AJ96" s="2">
        <v>219498</v>
      </c>
      <c r="AK96" s="2">
        <v>219498</v>
      </c>
    </row>
    <row r="97" spans="1:37" x14ac:dyDescent="0.2">
      <c r="A97" s="3">
        <v>1993</v>
      </c>
      <c r="B97" s="3">
        <v>3</v>
      </c>
      <c r="C97" s="2">
        <v>328291</v>
      </c>
      <c r="D97" s="2">
        <v>328291</v>
      </c>
      <c r="E97" s="2">
        <v>328291</v>
      </c>
      <c r="F97" s="2">
        <v>328316</v>
      </c>
      <c r="G97" s="2">
        <v>328316</v>
      </c>
      <c r="H97" s="2">
        <v>328316</v>
      </c>
      <c r="I97" s="2">
        <v>328316</v>
      </c>
      <c r="J97" s="52">
        <f t="shared" si="23"/>
        <v>416054.77549588098</v>
      </c>
      <c r="K97" s="2">
        <v>423097</v>
      </c>
      <c r="L97" s="2">
        <v>423097</v>
      </c>
      <c r="M97" s="2">
        <v>422853</v>
      </c>
      <c r="N97" s="2">
        <v>422853</v>
      </c>
      <c r="O97" s="2">
        <v>422853</v>
      </c>
      <c r="P97" s="2">
        <v>422853</v>
      </c>
      <c r="Q97" s="2">
        <v>422853</v>
      </c>
      <c r="R97" s="2">
        <v>423810</v>
      </c>
      <c r="S97" s="2">
        <v>423810</v>
      </c>
      <c r="T97" s="2">
        <v>423810</v>
      </c>
      <c r="U97" s="2">
        <v>423810</v>
      </c>
      <c r="V97" s="2">
        <v>218879</v>
      </c>
      <c r="W97" s="2">
        <v>218879</v>
      </c>
      <c r="X97" s="2">
        <v>218879</v>
      </c>
      <c r="Y97" s="2">
        <v>218879</v>
      </c>
      <c r="Z97" s="2">
        <v>218879</v>
      </c>
      <c r="AA97" s="2">
        <v>218245</v>
      </c>
      <c r="AB97" s="2">
        <v>218245</v>
      </c>
      <c r="AC97" s="2">
        <v>218245</v>
      </c>
      <c r="AD97" s="2">
        <v>218245</v>
      </c>
      <c r="AE97" s="2">
        <v>218245</v>
      </c>
      <c r="AF97" s="2">
        <v>218245</v>
      </c>
      <c r="AG97" s="2">
        <v>218245</v>
      </c>
      <c r="AH97" s="2">
        <f t="shared" si="24"/>
        <v>218245</v>
      </c>
      <c r="AI97" s="2">
        <v>218245</v>
      </c>
      <c r="AJ97" s="2">
        <v>218245</v>
      </c>
      <c r="AK97" s="2">
        <v>218245</v>
      </c>
    </row>
    <row r="98" spans="1:37" x14ac:dyDescent="0.2">
      <c r="A98" s="3">
        <v>1993</v>
      </c>
      <c r="B98" s="3">
        <v>4</v>
      </c>
      <c r="C98" s="2">
        <v>331190</v>
      </c>
      <c r="D98" s="2">
        <v>331190</v>
      </c>
      <c r="E98" s="2">
        <v>331190</v>
      </c>
      <c r="F98" s="2">
        <v>331214</v>
      </c>
      <c r="G98" s="2">
        <v>331214</v>
      </c>
      <c r="H98" s="2">
        <v>331214</v>
      </c>
      <c r="I98" s="2">
        <v>331214</v>
      </c>
      <c r="J98" s="52">
        <f t="shared" si="23"/>
        <v>419565.35474489548</v>
      </c>
      <c r="K98" s="2">
        <v>426667</v>
      </c>
      <c r="L98" s="2">
        <v>426667</v>
      </c>
      <c r="M98" s="2">
        <v>426670</v>
      </c>
      <c r="N98" s="2">
        <v>426670</v>
      </c>
      <c r="O98" s="2">
        <v>426670</v>
      </c>
      <c r="P98" s="2">
        <v>426670</v>
      </c>
      <c r="Q98" s="2">
        <v>426670</v>
      </c>
      <c r="R98" s="2">
        <v>427903</v>
      </c>
      <c r="S98" s="2">
        <v>427903</v>
      </c>
      <c r="T98" s="2">
        <v>427903</v>
      </c>
      <c r="U98" s="2">
        <v>427903</v>
      </c>
      <c r="V98" s="2">
        <v>220993</v>
      </c>
      <c r="W98" s="2">
        <v>220993</v>
      </c>
      <c r="X98" s="2">
        <v>220993</v>
      </c>
      <c r="Y98" s="2">
        <v>220993</v>
      </c>
      <c r="Z98" s="2">
        <v>220993</v>
      </c>
      <c r="AA98" s="2">
        <v>220013</v>
      </c>
      <c r="AB98" s="2">
        <v>220013</v>
      </c>
      <c r="AC98" s="2">
        <v>220013</v>
      </c>
      <c r="AD98" s="2">
        <v>220013</v>
      </c>
      <c r="AE98" s="2">
        <v>220013</v>
      </c>
      <c r="AF98" s="2">
        <v>220013</v>
      </c>
      <c r="AG98" s="2">
        <v>220013</v>
      </c>
      <c r="AH98" s="2">
        <f t="shared" si="24"/>
        <v>220013</v>
      </c>
      <c r="AI98" s="2">
        <v>220013</v>
      </c>
      <c r="AJ98" s="2">
        <v>220013</v>
      </c>
      <c r="AK98" s="2">
        <v>220013</v>
      </c>
    </row>
    <row r="99" spans="1:37" x14ac:dyDescent="0.2">
      <c r="A99" s="3">
        <v>1994</v>
      </c>
      <c r="B99" s="3">
        <v>1</v>
      </c>
      <c r="C99" s="2">
        <v>331985</v>
      </c>
      <c r="D99" s="2">
        <v>331985</v>
      </c>
      <c r="E99" s="2">
        <v>331985</v>
      </c>
      <c r="F99" s="2">
        <v>332560</v>
      </c>
      <c r="G99" s="2">
        <v>332560</v>
      </c>
      <c r="H99" s="2">
        <v>332560</v>
      </c>
      <c r="I99" s="2">
        <v>332560</v>
      </c>
      <c r="J99" s="52">
        <f t="shared" si="23"/>
        <v>422319.73358985054</v>
      </c>
      <c r="K99" s="2">
        <v>429468</v>
      </c>
      <c r="L99" s="2">
        <v>429468</v>
      </c>
      <c r="M99" s="2">
        <v>429124</v>
      </c>
      <c r="N99" s="2">
        <v>429160</v>
      </c>
      <c r="O99" s="2">
        <v>429160</v>
      </c>
      <c r="P99" s="2">
        <v>429160</v>
      </c>
      <c r="Q99" s="2">
        <v>429160</v>
      </c>
      <c r="R99" s="2">
        <v>429033</v>
      </c>
      <c r="S99" s="2">
        <v>429033</v>
      </c>
      <c r="T99" s="2">
        <v>429033</v>
      </c>
      <c r="U99" s="2">
        <v>429033</v>
      </c>
      <c r="V99" s="2">
        <v>221577</v>
      </c>
      <c r="W99" s="2">
        <v>221577</v>
      </c>
      <c r="X99" s="2">
        <v>221577</v>
      </c>
      <c r="Y99" s="2">
        <v>221577</v>
      </c>
      <c r="Z99" s="2">
        <v>221577</v>
      </c>
      <c r="AA99" s="2">
        <v>221780</v>
      </c>
      <c r="AB99" s="2">
        <v>221780</v>
      </c>
      <c r="AC99" s="2">
        <v>221780</v>
      </c>
      <c r="AD99" s="2">
        <v>221780</v>
      </c>
      <c r="AE99" s="2">
        <v>221780</v>
      </c>
      <c r="AF99" s="2">
        <v>221780</v>
      </c>
      <c r="AG99" s="2">
        <v>221780</v>
      </c>
      <c r="AH99" s="2">
        <f t="shared" si="24"/>
        <v>221780</v>
      </c>
      <c r="AI99" s="2">
        <v>221780</v>
      </c>
      <c r="AJ99" s="2">
        <v>221780</v>
      </c>
      <c r="AK99" s="2">
        <v>221780</v>
      </c>
    </row>
    <row r="100" spans="1:37" x14ac:dyDescent="0.2">
      <c r="A100" s="3">
        <v>1994</v>
      </c>
      <c r="B100" s="3">
        <v>2</v>
      </c>
      <c r="C100" s="2">
        <v>335868</v>
      </c>
      <c r="D100" s="2">
        <v>335868</v>
      </c>
      <c r="E100" s="2">
        <v>335868</v>
      </c>
      <c r="F100" s="2">
        <v>336135</v>
      </c>
      <c r="G100" s="2">
        <v>336135</v>
      </c>
      <c r="H100" s="2">
        <v>336135</v>
      </c>
      <c r="I100" s="2">
        <v>336135</v>
      </c>
      <c r="J100" s="52">
        <f t="shared" si="23"/>
        <v>426300.35678313085</v>
      </c>
      <c r="K100" s="2">
        <v>433516</v>
      </c>
      <c r="L100" s="2">
        <v>433516</v>
      </c>
      <c r="M100" s="2">
        <v>433556</v>
      </c>
      <c r="N100" s="2">
        <v>433314</v>
      </c>
      <c r="O100" s="2">
        <v>433314</v>
      </c>
      <c r="P100" s="2">
        <v>433314</v>
      </c>
      <c r="Q100" s="2">
        <v>433314</v>
      </c>
      <c r="R100" s="2">
        <v>433243</v>
      </c>
      <c r="S100" s="2">
        <v>433243</v>
      </c>
      <c r="T100" s="2">
        <v>433243</v>
      </c>
      <c r="U100" s="2">
        <v>433243</v>
      </c>
      <c r="V100" s="2">
        <v>223751</v>
      </c>
      <c r="W100" s="2">
        <v>223751</v>
      </c>
      <c r="X100" s="2">
        <v>223751</v>
      </c>
      <c r="Y100" s="2">
        <v>223751</v>
      </c>
      <c r="Z100" s="2">
        <v>223751</v>
      </c>
      <c r="AA100" s="2">
        <v>223907</v>
      </c>
      <c r="AB100" s="2">
        <v>223907</v>
      </c>
      <c r="AC100" s="2">
        <v>223907</v>
      </c>
      <c r="AD100" s="2">
        <v>223907</v>
      </c>
      <c r="AE100" s="2">
        <v>223907</v>
      </c>
      <c r="AF100" s="2">
        <v>223907</v>
      </c>
      <c r="AG100" s="2">
        <v>223907</v>
      </c>
      <c r="AH100" s="2">
        <f t="shared" si="24"/>
        <v>223907</v>
      </c>
      <c r="AI100" s="2">
        <v>223907</v>
      </c>
      <c r="AJ100" s="2">
        <v>223907</v>
      </c>
      <c r="AK100" s="2">
        <v>223907</v>
      </c>
    </row>
    <row r="101" spans="1:37" x14ac:dyDescent="0.2">
      <c r="A101" s="3">
        <v>1994</v>
      </c>
      <c r="B101" s="3">
        <v>3</v>
      </c>
      <c r="C101" s="2">
        <v>338407</v>
      </c>
      <c r="D101" s="2">
        <v>338407</v>
      </c>
      <c r="E101" s="2">
        <v>338407</v>
      </c>
      <c r="F101" s="2">
        <v>338041</v>
      </c>
      <c r="G101" s="2">
        <v>338041</v>
      </c>
      <c r="H101" s="2">
        <v>338041</v>
      </c>
      <c r="I101" s="2">
        <v>338041</v>
      </c>
      <c r="J101" s="52">
        <f t="shared" si="23"/>
        <v>428116.61445061816</v>
      </c>
      <c r="K101" s="2">
        <v>435363</v>
      </c>
      <c r="L101" s="2">
        <v>435363</v>
      </c>
      <c r="M101" s="2">
        <v>435505</v>
      </c>
      <c r="N101" s="2">
        <v>435507</v>
      </c>
      <c r="O101" s="2">
        <v>435507</v>
      </c>
      <c r="P101" s="2">
        <v>435507</v>
      </c>
      <c r="Q101" s="2">
        <v>435507</v>
      </c>
      <c r="R101" s="2">
        <v>436108</v>
      </c>
      <c r="S101" s="2">
        <v>436108</v>
      </c>
      <c r="T101" s="2">
        <v>436108</v>
      </c>
      <c r="U101" s="2">
        <v>436108</v>
      </c>
      <c r="V101" s="2">
        <v>225231</v>
      </c>
      <c r="W101" s="2">
        <v>225231</v>
      </c>
      <c r="X101" s="2">
        <v>225231</v>
      </c>
      <c r="Y101" s="2">
        <v>225231</v>
      </c>
      <c r="Z101" s="2">
        <v>225231</v>
      </c>
      <c r="AA101" s="2">
        <v>225264</v>
      </c>
      <c r="AB101" s="2">
        <v>225264</v>
      </c>
      <c r="AC101" s="2">
        <v>225264</v>
      </c>
      <c r="AD101" s="2">
        <v>225264</v>
      </c>
      <c r="AE101" s="2">
        <v>225264</v>
      </c>
      <c r="AF101" s="2">
        <v>225264</v>
      </c>
      <c r="AG101" s="2">
        <v>225264</v>
      </c>
      <c r="AH101" s="2">
        <f t="shared" si="24"/>
        <v>225264</v>
      </c>
      <c r="AI101" s="2">
        <v>225264</v>
      </c>
      <c r="AJ101" s="2">
        <v>225264</v>
      </c>
      <c r="AK101" s="2">
        <v>225264</v>
      </c>
    </row>
    <row r="102" spans="1:37" x14ac:dyDescent="0.2">
      <c r="A102" s="3">
        <v>1994</v>
      </c>
      <c r="B102" s="3">
        <v>4</v>
      </c>
      <c r="C102" s="2">
        <v>340007</v>
      </c>
      <c r="D102" s="2">
        <v>340007</v>
      </c>
      <c r="E102" s="2">
        <v>340007</v>
      </c>
      <c r="F102" s="2">
        <v>339530</v>
      </c>
      <c r="G102" s="2">
        <v>339530</v>
      </c>
      <c r="H102" s="2">
        <v>339530</v>
      </c>
      <c r="I102" s="2">
        <v>339530</v>
      </c>
      <c r="J102" s="52">
        <f t="shared" si="23"/>
        <v>430865.09316238167</v>
      </c>
      <c r="K102" s="2">
        <v>438158</v>
      </c>
      <c r="L102" s="2">
        <v>438158</v>
      </c>
      <c r="M102" s="2">
        <v>438320</v>
      </c>
      <c r="N102" s="2">
        <v>438523</v>
      </c>
      <c r="O102" s="2">
        <v>438523</v>
      </c>
      <c r="P102" s="2">
        <v>438523</v>
      </c>
      <c r="Q102" s="2">
        <v>438523</v>
      </c>
      <c r="R102" s="2">
        <v>438121</v>
      </c>
      <c r="S102" s="2">
        <v>438121</v>
      </c>
      <c r="T102" s="2">
        <v>438121</v>
      </c>
      <c r="U102" s="2">
        <v>438121</v>
      </c>
      <c r="V102" s="2">
        <v>226271</v>
      </c>
      <c r="W102" s="2">
        <v>226271</v>
      </c>
      <c r="X102" s="2">
        <v>226271</v>
      </c>
      <c r="Y102" s="2">
        <v>226271</v>
      </c>
      <c r="Z102" s="2">
        <v>226271</v>
      </c>
      <c r="AA102" s="2">
        <v>226146</v>
      </c>
      <c r="AB102" s="2">
        <v>226146</v>
      </c>
      <c r="AC102" s="2">
        <v>226146</v>
      </c>
      <c r="AD102" s="2">
        <v>226146</v>
      </c>
      <c r="AE102" s="2">
        <v>226146</v>
      </c>
      <c r="AF102" s="2">
        <v>226146</v>
      </c>
      <c r="AG102" s="2">
        <v>226146</v>
      </c>
      <c r="AH102" s="2">
        <f t="shared" si="24"/>
        <v>226146</v>
      </c>
      <c r="AI102" s="2">
        <v>226146</v>
      </c>
      <c r="AJ102" s="2">
        <v>226146</v>
      </c>
      <c r="AK102" s="2">
        <v>226146</v>
      </c>
    </row>
    <row r="103" spans="1:37" x14ac:dyDescent="0.2">
      <c r="A103" s="3">
        <v>1995</v>
      </c>
      <c r="B103" s="3">
        <v>1</v>
      </c>
      <c r="C103" s="2">
        <v>345110</v>
      </c>
      <c r="D103" s="2">
        <v>345479</v>
      </c>
      <c r="E103" s="2">
        <v>345503</v>
      </c>
      <c r="F103" s="2">
        <v>345321</v>
      </c>
      <c r="G103" s="2">
        <v>345321</v>
      </c>
      <c r="H103" s="2">
        <v>345321</v>
      </c>
      <c r="I103" s="2">
        <v>345321</v>
      </c>
      <c r="J103" s="2">
        <v>438551</v>
      </c>
      <c r="K103" s="2">
        <v>445974</v>
      </c>
      <c r="L103" s="2">
        <v>445974</v>
      </c>
      <c r="M103" s="2">
        <v>445647</v>
      </c>
      <c r="N103" s="2">
        <v>446239</v>
      </c>
      <c r="O103" s="2">
        <v>446239</v>
      </c>
      <c r="P103" s="2">
        <v>446239</v>
      </c>
      <c r="Q103" s="2">
        <v>446239</v>
      </c>
      <c r="R103" s="2">
        <v>446022</v>
      </c>
      <c r="S103" s="2">
        <v>446022</v>
      </c>
      <c r="T103" s="2">
        <v>446022</v>
      </c>
      <c r="U103" s="2">
        <v>446022</v>
      </c>
      <c r="V103" s="2">
        <v>230351</v>
      </c>
      <c r="W103" s="2">
        <v>230351</v>
      </c>
      <c r="X103" s="2">
        <v>230351</v>
      </c>
      <c r="Y103" s="2">
        <v>230351</v>
      </c>
      <c r="Z103" s="2">
        <v>230351</v>
      </c>
      <c r="AA103" s="2">
        <v>230412</v>
      </c>
      <c r="AB103" s="2">
        <v>230412</v>
      </c>
      <c r="AC103" s="2">
        <v>230412</v>
      </c>
      <c r="AD103" s="2">
        <v>230412</v>
      </c>
      <c r="AE103" s="2">
        <v>230412</v>
      </c>
      <c r="AF103" s="2">
        <v>230412</v>
      </c>
      <c r="AG103" s="2">
        <v>230412</v>
      </c>
      <c r="AH103" s="2">
        <f t="shared" si="24"/>
        <v>230412</v>
      </c>
      <c r="AI103" s="2">
        <v>230412</v>
      </c>
      <c r="AJ103" s="2">
        <v>230412</v>
      </c>
      <c r="AK103" s="2">
        <v>230412</v>
      </c>
    </row>
    <row r="104" spans="1:37" x14ac:dyDescent="0.2">
      <c r="A104" s="3">
        <v>1995</v>
      </c>
      <c r="B104" s="3">
        <v>2</v>
      </c>
      <c r="C104" s="2">
        <v>345662</v>
      </c>
      <c r="D104" s="2">
        <v>345250</v>
      </c>
      <c r="E104" s="2">
        <v>345402</v>
      </c>
      <c r="F104" s="2">
        <v>344992</v>
      </c>
      <c r="G104" s="2">
        <v>344992</v>
      </c>
      <c r="H104" s="2">
        <v>344992</v>
      </c>
      <c r="I104" s="2">
        <v>344992</v>
      </c>
      <c r="J104" s="2">
        <v>437783</v>
      </c>
      <c r="K104" s="2">
        <v>446505</v>
      </c>
      <c r="L104" s="2">
        <v>446505</v>
      </c>
      <c r="M104" s="2">
        <v>446594</v>
      </c>
      <c r="N104" s="2">
        <v>446295</v>
      </c>
      <c r="O104" s="2">
        <v>446295</v>
      </c>
      <c r="P104" s="2">
        <v>446295</v>
      </c>
      <c r="Q104" s="2">
        <v>446295</v>
      </c>
      <c r="R104" s="2">
        <v>446173</v>
      </c>
      <c r="S104" s="2">
        <v>446173</v>
      </c>
      <c r="T104" s="2">
        <v>446173</v>
      </c>
      <c r="U104" s="2">
        <v>446173</v>
      </c>
      <c r="V104" s="2">
        <v>230429</v>
      </c>
      <c r="W104" s="2">
        <v>230429</v>
      </c>
      <c r="X104" s="2">
        <v>230429</v>
      </c>
      <c r="Y104" s="2">
        <v>230429</v>
      </c>
      <c r="Z104" s="2">
        <v>230429</v>
      </c>
      <c r="AA104" s="2">
        <v>230365</v>
      </c>
      <c r="AB104" s="2">
        <v>230365</v>
      </c>
      <c r="AC104" s="2">
        <v>230365</v>
      </c>
      <c r="AD104" s="2">
        <v>230365</v>
      </c>
      <c r="AE104" s="2">
        <v>230365</v>
      </c>
      <c r="AF104" s="2">
        <v>230365</v>
      </c>
      <c r="AG104" s="2">
        <v>230365</v>
      </c>
      <c r="AH104" s="2">
        <f t="shared" si="24"/>
        <v>230365</v>
      </c>
      <c r="AI104" s="2">
        <v>230365</v>
      </c>
      <c r="AJ104" s="2">
        <v>230365</v>
      </c>
      <c r="AK104" s="2">
        <v>230365</v>
      </c>
    </row>
    <row r="105" spans="1:37" x14ac:dyDescent="0.2">
      <c r="A105" s="3">
        <v>1995</v>
      </c>
      <c r="B105" s="3">
        <v>3</v>
      </c>
      <c r="C105" s="2">
        <v>347354</v>
      </c>
      <c r="D105" s="2">
        <v>347167</v>
      </c>
      <c r="E105" s="2">
        <v>346816</v>
      </c>
      <c r="F105" s="2">
        <v>347118</v>
      </c>
      <c r="G105" s="2">
        <v>347118</v>
      </c>
      <c r="H105" s="2">
        <v>347118</v>
      </c>
      <c r="I105" s="2">
        <v>347118</v>
      </c>
      <c r="J105" s="2">
        <v>439833</v>
      </c>
      <c r="K105" s="2">
        <v>446416</v>
      </c>
      <c r="L105" s="2">
        <v>446416</v>
      </c>
      <c r="M105" s="2">
        <v>446757</v>
      </c>
      <c r="N105" s="2">
        <v>446129</v>
      </c>
      <c r="O105" s="2">
        <v>446129</v>
      </c>
      <c r="P105" s="2">
        <v>446129</v>
      </c>
      <c r="Q105" s="2">
        <v>446129</v>
      </c>
      <c r="R105" s="2">
        <v>446643</v>
      </c>
      <c r="S105" s="2">
        <v>446643</v>
      </c>
      <c r="T105" s="2">
        <v>446643</v>
      </c>
      <c r="U105" s="2">
        <v>446643</v>
      </c>
      <c r="V105" s="2">
        <v>230672</v>
      </c>
      <c r="W105" s="2">
        <v>230672</v>
      </c>
      <c r="X105" s="2">
        <v>230672</v>
      </c>
      <c r="Y105" s="2">
        <v>230672</v>
      </c>
      <c r="Z105" s="2">
        <v>230672</v>
      </c>
      <c r="AA105" s="2">
        <v>230774</v>
      </c>
      <c r="AB105" s="2">
        <v>230774</v>
      </c>
      <c r="AC105" s="2">
        <v>230774</v>
      </c>
      <c r="AD105" s="2">
        <v>230774</v>
      </c>
      <c r="AE105" s="2">
        <v>230774</v>
      </c>
      <c r="AF105" s="2">
        <v>230774</v>
      </c>
      <c r="AG105" s="2">
        <v>230774</v>
      </c>
      <c r="AH105" s="2">
        <f t="shared" si="24"/>
        <v>230774</v>
      </c>
      <c r="AI105" s="2">
        <v>230774</v>
      </c>
      <c r="AJ105" s="2">
        <v>230774</v>
      </c>
      <c r="AK105" s="2">
        <v>230774</v>
      </c>
    </row>
    <row r="106" spans="1:37" x14ac:dyDescent="0.2">
      <c r="A106" s="3">
        <v>1995</v>
      </c>
      <c r="B106" s="3">
        <v>4</v>
      </c>
      <c r="C106" s="2">
        <v>347703</v>
      </c>
      <c r="D106" s="2">
        <v>347934</v>
      </c>
      <c r="E106" s="2">
        <v>348110</v>
      </c>
      <c r="F106" s="2">
        <v>348430</v>
      </c>
      <c r="G106" s="2">
        <v>348430</v>
      </c>
      <c r="H106" s="2">
        <v>348430</v>
      </c>
      <c r="I106" s="2">
        <v>348430</v>
      </c>
      <c r="J106" s="2">
        <v>441341</v>
      </c>
      <c r="K106" s="2">
        <v>448383</v>
      </c>
      <c r="L106" s="2">
        <v>448383</v>
      </c>
      <c r="M106" s="2">
        <v>448280</v>
      </c>
      <c r="N106" s="2">
        <v>448615</v>
      </c>
      <c r="O106" s="2">
        <v>448615</v>
      </c>
      <c r="P106" s="2">
        <v>448615</v>
      </c>
      <c r="Q106" s="2">
        <v>448615</v>
      </c>
      <c r="R106" s="2">
        <v>448441</v>
      </c>
      <c r="S106" s="2">
        <v>448441</v>
      </c>
      <c r="T106" s="2">
        <v>448441</v>
      </c>
      <c r="U106" s="2">
        <v>448441</v>
      </c>
      <c r="V106" s="2">
        <v>231600</v>
      </c>
      <c r="W106" s="2">
        <v>231600</v>
      </c>
      <c r="X106" s="2">
        <v>231600</v>
      </c>
      <c r="Y106" s="2">
        <v>231600</v>
      </c>
      <c r="Z106" s="2">
        <v>231600</v>
      </c>
      <c r="AA106" s="2">
        <v>232021</v>
      </c>
      <c r="AB106" s="2">
        <v>232021</v>
      </c>
      <c r="AC106" s="2">
        <v>232021</v>
      </c>
      <c r="AD106" s="2">
        <v>232021</v>
      </c>
      <c r="AE106" s="2">
        <v>232021</v>
      </c>
      <c r="AF106" s="2">
        <v>232021</v>
      </c>
      <c r="AG106" s="2">
        <v>232021</v>
      </c>
      <c r="AH106" s="2">
        <f t="shared" si="24"/>
        <v>232021</v>
      </c>
      <c r="AI106" s="2">
        <v>232021</v>
      </c>
      <c r="AJ106" s="2">
        <v>232021</v>
      </c>
      <c r="AK106" s="2">
        <v>232021</v>
      </c>
    </row>
    <row r="107" spans="1:37" x14ac:dyDescent="0.2">
      <c r="A107" s="3">
        <v>1996</v>
      </c>
      <c r="B107" s="3">
        <v>1</v>
      </c>
      <c r="C107" s="2">
        <v>349169</v>
      </c>
      <c r="D107" s="2">
        <v>350031</v>
      </c>
      <c r="E107" s="2">
        <v>350338</v>
      </c>
      <c r="F107" s="2">
        <v>350855</v>
      </c>
      <c r="G107" s="2">
        <v>350976</v>
      </c>
      <c r="H107" s="2">
        <v>351104</v>
      </c>
      <c r="I107" s="2">
        <v>351184</v>
      </c>
      <c r="J107" s="2">
        <v>446901</v>
      </c>
      <c r="K107" s="2">
        <v>451475</v>
      </c>
      <c r="L107" s="2">
        <v>451475</v>
      </c>
      <c r="M107" s="2">
        <v>451299</v>
      </c>
      <c r="N107" s="2">
        <v>451933</v>
      </c>
      <c r="O107" s="2">
        <v>451933</v>
      </c>
      <c r="P107" s="2">
        <v>451933</v>
      </c>
      <c r="Q107" s="2">
        <v>451933</v>
      </c>
      <c r="R107" s="2">
        <v>453317</v>
      </c>
      <c r="S107" s="2">
        <v>453317</v>
      </c>
      <c r="T107" s="2">
        <v>453317</v>
      </c>
      <c r="U107" s="2">
        <v>453317</v>
      </c>
      <c r="V107" s="2">
        <v>233619</v>
      </c>
      <c r="W107" s="2">
        <v>233617</v>
      </c>
      <c r="X107" s="2">
        <v>233617</v>
      </c>
      <c r="Y107" s="2">
        <v>233617</v>
      </c>
      <c r="Z107" s="2">
        <v>233617</v>
      </c>
      <c r="AA107" s="2">
        <v>234437</v>
      </c>
      <c r="AB107" s="2">
        <v>234437</v>
      </c>
      <c r="AC107" s="2">
        <v>234437</v>
      </c>
      <c r="AD107" s="2">
        <v>234437</v>
      </c>
      <c r="AE107" s="2">
        <v>234437</v>
      </c>
      <c r="AF107" s="2">
        <v>234437</v>
      </c>
      <c r="AG107" s="2">
        <v>234437</v>
      </c>
      <c r="AH107" s="2">
        <f t="shared" ref="AH107:AH118" si="25">AG107</f>
        <v>234437</v>
      </c>
      <c r="AI107" s="2">
        <v>234437</v>
      </c>
      <c r="AJ107" s="2">
        <v>234437</v>
      </c>
      <c r="AK107" s="2">
        <v>234437</v>
      </c>
    </row>
    <row r="108" spans="1:37" x14ac:dyDescent="0.2">
      <c r="A108" s="3">
        <v>1996</v>
      </c>
      <c r="B108" s="3">
        <v>2</v>
      </c>
      <c r="C108" s="2">
        <v>347614</v>
      </c>
      <c r="D108" s="2">
        <v>346966</v>
      </c>
      <c r="E108" s="2">
        <v>347223</v>
      </c>
      <c r="F108" s="2">
        <v>347625</v>
      </c>
      <c r="G108" s="2">
        <v>347379</v>
      </c>
      <c r="H108" s="2">
        <v>347449</v>
      </c>
      <c r="I108" s="2">
        <v>347541</v>
      </c>
      <c r="J108" s="2">
        <v>442233</v>
      </c>
      <c r="K108" s="2">
        <v>449509</v>
      </c>
      <c r="L108" s="2">
        <v>449509</v>
      </c>
      <c r="M108" s="2">
        <v>449496</v>
      </c>
      <c r="N108" s="2">
        <v>449795</v>
      </c>
      <c r="O108" s="2">
        <v>449795</v>
      </c>
      <c r="P108" s="2">
        <v>449795</v>
      </c>
      <c r="Q108" s="2">
        <v>449795</v>
      </c>
      <c r="R108" s="2">
        <v>449286</v>
      </c>
      <c r="S108" s="2">
        <v>449286</v>
      </c>
      <c r="T108" s="2">
        <v>449286</v>
      </c>
      <c r="U108" s="2">
        <v>449286</v>
      </c>
      <c r="V108" s="2">
        <v>232136</v>
      </c>
      <c r="W108" s="2">
        <v>232244</v>
      </c>
      <c r="X108" s="2">
        <v>232244</v>
      </c>
      <c r="Y108" s="2">
        <v>232244</v>
      </c>
      <c r="Z108" s="2">
        <v>232244</v>
      </c>
      <c r="AA108" s="2">
        <v>232685</v>
      </c>
      <c r="AB108" s="2">
        <v>232685</v>
      </c>
      <c r="AC108" s="2">
        <v>232685</v>
      </c>
      <c r="AD108" s="2">
        <v>232685</v>
      </c>
      <c r="AE108" s="2">
        <v>232685</v>
      </c>
      <c r="AF108" s="2">
        <v>232685</v>
      </c>
      <c r="AG108" s="2">
        <v>232685</v>
      </c>
      <c r="AH108" s="2">
        <f t="shared" si="25"/>
        <v>232685</v>
      </c>
      <c r="AI108" s="2">
        <v>232685</v>
      </c>
      <c r="AJ108" s="2">
        <v>232685</v>
      </c>
      <c r="AK108" s="2">
        <v>232685</v>
      </c>
    </row>
    <row r="109" spans="1:37" x14ac:dyDescent="0.2">
      <c r="A109" s="3">
        <v>1996</v>
      </c>
      <c r="B109" s="3">
        <v>3</v>
      </c>
      <c r="C109" s="2">
        <v>350149</v>
      </c>
      <c r="D109" s="2">
        <v>349496</v>
      </c>
      <c r="E109" s="2">
        <v>348953</v>
      </c>
      <c r="F109" s="2">
        <v>348904</v>
      </c>
      <c r="G109" s="2">
        <v>348865</v>
      </c>
      <c r="H109" s="2">
        <v>348855</v>
      </c>
      <c r="I109" s="2">
        <v>348670</v>
      </c>
      <c r="J109" s="2">
        <v>443032</v>
      </c>
      <c r="K109" s="2">
        <v>451706</v>
      </c>
      <c r="L109" s="2">
        <v>451706</v>
      </c>
      <c r="M109" s="2">
        <v>451779</v>
      </c>
      <c r="N109" s="2">
        <v>453101</v>
      </c>
      <c r="O109" s="2">
        <v>453101</v>
      </c>
      <c r="P109" s="2">
        <v>453101</v>
      </c>
      <c r="Q109" s="2">
        <v>453101</v>
      </c>
      <c r="R109" s="2">
        <v>452251</v>
      </c>
      <c r="S109" s="2">
        <v>452251</v>
      </c>
      <c r="T109" s="2">
        <v>452251</v>
      </c>
      <c r="U109" s="2">
        <v>452251</v>
      </c>
      <c r="V109" s="2">
        <v>233727</v>
      </c>
      <c r="W109" s="2">
        <v>233706</v>
      </c>
      <c r="X109" s="2">
        <v>233706</v>
      </c>
      <c r="Y109" s="2">
        <v>233706</v>
      </c>
      <c r="Z109" s="2">
        <v>233706</v>
      </c>
      <c r="AA109" s="2">
        <v>233452</v>
      </c>
      <c r="AB109" s="2">
        <v>233452</v>
      </c>
      <c r="AC109" s="2">
        <v>233452</v>
      </c>
      <c r="AD109" s="2">
        <v>233452</v>
      </c>
      <c r="AE109" s="2">
        <v>233452</v>
      </c>
      <c r="AF109" s="2">
        <v>233452</v>
      </c>
      <c r="AG109" s="2">
        <v>233452</v>
      </c>
      <c r="AH109" s="2">
        <f t="shared" si="25"/>
        <v>233452</v>
      </c>
      <c r="AI109" s="2">
        <v>233452</v>
      </c>
      <c r="AJ109" s="2">
        <v>233452</v>
      </c>
      <c r="AK109" s="2">
        <v>233452</v>
      </c>
    </row>
    <row r="110" spans="1:37" x14ac:dyDescent="0.2">
      <c r="A110" s="3">
        <v>1996</v>
      </c>
      <c r="B110" s="3">
        <v>4</v>
      </c>
      <c r="C110" s="2">
        <v>348475</v>
      </c>
      <c r="D110" s="2">
        <v>348916</v>
      </c>
      <c r="E110" s="2">
        <v>348894</v>
      </c>
      <c r="F110" s="2">
        <v>347634</v>
      </c>
      <c r="G110" s="2">
        <v>347798</v>
      </c>
      <c r="H110" s="2">
        <v>347609</v>
      </c>
      <c r="I110" s="2">
        <v>347623</v>
      </c>
      <c r="J110" s="2">
        <v>440373</v>
      </c>
      <c r="K110" s="2">
        <v>450056</v>
      </c>
      <c r="L110" s="2">
        <v>450056</v>
      </c>
      <c r="M110" s="2">
        <v>450173</v>
      </c>
      <c r="N110" s="2">
        <v>451985</v>
      </c>
      <c r="O110" s="2">
        <v>451985</v>
      </c>
      <c r="P110" s="2">
        <v>451985</v>
      </c>
      <c r="Q110" s="2">
        <v>451985</v>
      </c>
      <c r="R110" s="2">
        <v>451961</v>
      </c>
      <c r="S110" s="2">
        <v>451961</v>
      </c>
      <c r="T110" s="2">
        <v>451961</v>
      </c>
      <c r="U110" s="2">
        <v>451961</v>
      </c>
      <c r="V110" s="2">
        <v>233661</v>
      </c>
      <c r="W110" s="2">
        <v>233575</v>
      </c>
      <c r="X110" s="2">
        <v>233575</v>
      </c>
      <c r="Y110" s="2">
        <v>233575</v>
      </c>
      <c r="Z110" s="2">
        <v>233575</v>
      </c>
      <c r="AA110" s="2">
        <v>232391</v>
      </c>
      <c r="AB110" s="2">
        <v>232391</v>
      </c>
      <c r="AC110" s="2">
        <v>232391</v>
      </c>
      <c r="AD110" s="2">
        <v>232391</v>
      </c>
      <c r="AE110" s="2">
        <v>232391</v>
      </c>
      <c r="AF110" s="2">
        <v>232391</v>
      </c>
      <c r="AG110" s="2">
        <v>232391</v>
      </c>
      <c r="AH110" s="2">
        <f t="shared" si="25"/>
        <v>232391</v>
      </c>
      <c r="AI110" s="2">
        <v>232391</v>
      </c>
      <c r="AJ110" s="2">
        <v>232391</v>
      </c>
      <c r="AK110" s="2">
        <v>232391</v>
      </c>
    </row>
    <row r="111" spans="1:37" x14ac:dyDescent="0.2">
      <c r="A111" s="3">
        <v>1997</v>
      </c>
      <c r="B111" s="3">
        <v>1</v>
      </c>
      <c r="C111" s="2">
        <v>347865</v>
      </c>
      <c r="D111" s="2">
        <v>347950</v>
      </c>
      <c r="E111" s="2">
        <v>348157</v>
      </c>
      <c r="F111" s="2">
        <v>347759</v>
      </c>
      <c r="G111" s="2">
        <v>347988</v>
      </c>
      <c r="H111" s="2">
        <v>348137</v>
      </c>
      <c r="I111" s="2">
        <v>348101</v>
      </c>
      <c r="J111" s="2">
        <v>441778</v>
      </c>
      <c r="K111" s="2">
        <v>449233</v>
      </c>
      <c r="L111" s="2">
        <v>449460</v>
      </c>
      <c r="M111" s="2">
        <v>449094</v>
      </c>
      <c r="N111" s="2">
        <v>451243</v>
      </c>
      <c r="O111" s="2">
        <v>451243</v>
      </c>
      <c r="P111" s="2">
        <v>451243</v>
      </c>
      <c r="Q111" s="2">
        <v>451243</v>
      </c>
      <c r="R111" s="2">
        <v>453203</v>
      </c>
      <c r="S111" s="2">
        <v>453203</v>
      </c>
      <c r="T111" s="2">
        <v>453203</v>
      </c>
      <c r="U111" s="2">
        <v>453203</v>
      </c>
      <c r="V111" s="2">
        <v>233910</v>
      </c>
      <c r="W111" s="2">
        <v>233905</v>
      </c>
      <c r="X111" s="2">
        <v>233905</v>
      </c>
      <c r="Y111" s="2">
        <v>233905</v>
      </c>
      <c r="Z111" s="2">
        <v>233882</v>
      </c>
      <c r="AA111" s="2">
        <v>232804</v>
      </c>
      <c r="AB111" s="2">
        <v>232804</v>
      </c>
      <c r="AC111" s="2">
        <v>232804</v>
      </c>
      <c r="AD111" s="2">
        <v>232804</v>
      </c>
      <c r="AE111" s="2">
        <v>232804</v>
      </c>
      <c r="AF111" s="2">
        <v>232804</v>
      </c>
      <c r="AG111" s="2">
        <v>232804</v>
      </c>
      <c r="AH111" s="2">
        <f t="shared" si="25"/>
        <v>232804</v>
      </c>
      <c r="AI111" s="2">
        <v>232804</v>
      </c>
      <c r="AJ111" s="2">
        <v>232804</v>
      </c>
      <c r="AK111" s="2">
        <v>232804</v>
      </c>
    </row>
    <row r="112" spans="1:37" x14ac:dyDescent="0.2">
      <c r="A112" s="3">
        <v>1997</v>
      </c>
      <c r="B112" s="3">
        <v>2</v>
      </c>
      <c r="D112" s="2">
        <v>353596</v>
      </c>
      <c r="E112" s="2">
        <v>354629</v>
      </c>
      <c r="F112" s="2">
        <v>354367</v>
      </c>
      <c r="G112" s="2">
        <v>354709</v>
      </c>
      <c r="H112" s="2">
        <v>354330</v>
      </c>
      <c r="I112" s="2">
        <v>354418</v>
      </c>
      <c r="J112" s="2">
        <v>450883</v>
      </c>
      <c r="K112" s="2">
        <v>456818</v>
      </c>
      <c r="L112" s="2">
        <v>456811</v>
      </c>
      <c r="M112" s="2">
        <v>456945</v>
      </c>
      <c r="N112" s="2">
        <v>460039</v>
      </c>
      <c r="O112" s="2">
        <v>460039</v>
      </c>
      <c r="P112" s="2">
        <v>460039</v>
      </c>
      <c r="Q112" s="2">
        <v>460039</v>
      </c>
      <c r="R112" s="2">
        <v>461026</v>
      </c>
      <c r="S112" s="2">
        <v>461026</v>
      </c>
      <c r="T112" s="2">
        <v>461026</v>
      </c>
      <c r="U112" s="2">
        <v>461026</v>
      </c>
      <c r="V112" s="2">
        <v>238119</v>
      </c>
      <c r="W112" s="2">
        <v>238149</v>
      </c>
      <c r="X112" s="2">
        <v>238149</v>
      </c>
      <c r="Y112" s="2">
        <v>238149</v>
      </c>
      <c r="Z112" s="2">
        <v>238201</v>
      </c>
      <c r="AA112" s="2">
        <v>238363</v>
      </c>
      <c r="AB112" s="2">
        <v>238363</v>
      </c>
      <c r="AC112" s="2">
        <v>238363</v>
      </c>
      <c r="AD112" s="2">
        <v>238363</v>
      </c>
      <c r="AE112" s="2">
        <v>238363</v>
      </c>
      <c r="AF112" s="2">
        <v>238363</v>
      </c>
      <c r="AG112" s="2">
        <v>238363</v>
      </c>
      <c r="AH112" s="2">
        <f t="shared" si="25"/>
        <v>238363</v>
      </c>
      <c r="AI112" s="2">
        <v>238363</v>
      </c>
      <c r="AJ112" s="2">
        <v>238363</v>
      </c>
      <c r="AK112" s="2">
        <v>238363</v>
      </c>
    </row>
    <row r="113" spans="1:37" x14ac:dyDescent="0.2">
      <c r="A113" s="3">
        <v>1997</v>
      </c>
      <c r="B113" s="3">
        <v>3</v>
      </c>
      <c r="E113" s="2">
        <v>356179</v>
      </c>
      <c r="F113" s="2">
        <v>356652</v>
      </c>
      <c r="G113" s="2">
        <v>356387</v>
      </c>
      <c r="H113" s="2">
        <v>356273</v>
      </c>
      <c r="I113" s="2">
        <v>356312</v>
      </c>
      <c r="J113" s="2">
        <v>452453</v>
      </c>
      <c r="K113" s="2">
        <v>460131</v>
      </c>
      <c r="L113" s="2">
        <v>460100</v>
      </c>
      <c r="M113" s="2">
        <v>460105</v>
      </c>
      <c r="N113" s="2">
        <v>462621</v>
      </c>
      <c r="O113" s="2">
        <v>462621</v>
      </c>
      <c r="P113" s="2">
        <v>462621</v>
      </c>
      <c r="Q113" s="2">
        <v>462621</v>
      </c>
      <c r="R113" s="2">
        <v>462995</v>
      </c>
      <c r="S113" s="2">
        <v>462995</v>
      </c>
      <c r="T113" s="2">
        <v>462995</v>
      </c>
      <c r="U113" s="2">
        <v>462995</v>
      </c>
      <c r="V113" s="2">
        <v>239048</v>
      </c>
      <c r="W113" s="2">
        <v>239125</v>
      </c>
      <c r="X113" s="2">
        <v>239125</v>
      </c>
      <c r="Y113" s="2">
        <v>239125</v>
      </c>
      <c r="Z113" s="2">
        <v>239108</v>
      </c>
      <c r="AA113" s="2">
        <v>239503</v>
      </c>
      <c r="AB113" s="2">
        <v>239503</v>
      </c>
      <c r="AC113" s="2">
        <v>239503</v>
      </c>
      <c r="AD113" s="2">
        <v>239503</v>
      </c>
      <c r="AE113" s="2">
        <v>239503</v>
      </c>
      <c r="AF113" s="2">
        <v>239503</v>
      </c>
      <c r="AG113" s="2">
        <v>239503</v>
      </c>
      <c r="AH113" s="2">
        <f t="shared" si="25"/>
        <v>239503</v>
      </c>
      <c r="AI113" s="2">
        <v>239503</v>
      </c>
      <c r="AJ113" s="2">
        <v>239503</v>
      </c>
      <c r="AK113" s="2">
        <v>239503</v>
      </c>
    </row>
    <row r="114" spans="1:37" x14ac:dyDescent="0.2">
      <c r="A114" s="3">
        <v>1997</v>
      </c>
      <c r="B114" s="3">
        <v>4</v>
      </c>
      <c r="F114" s="2">
        <v>357277</v>
      </c>
      <c r="G114" s="2">
        <v>356971</v>
      </c>
      <c r="H114" s="2">
        <v>357315</v>
      </c>
      <c r="I114" s="2">
        <v>357224</v>
      </c>
      <c r="J114" s="2">
        <v>453237</v>
      </c>
      <c r="K114" s="2">
        <v>463282</v>
      </c>
      <c r="L114" s="2">
        <v>463093</v>
      </c>
      <c r="M114" s="2">
        <v>463320</v>
      </c>
      <c r="N114" s="2">
        <v>465720</v>
      </c>
      <c r="O114" s="2">
        <v>465720</v>
      </c>
      <c r="P114" s="2">
        <v>465720</v>
      </c>
      <c r="Q114" s="2">
        <v>465720</v>
      </c>
      <c r="R114" s="2">
        <v>466202</v>
      </c>
      <c r="S114" s="2">
        <v>466202</v>
      </c>
      <c r="T114" s="2">
        <v>466202</v>
      </c>
      <c r="U114" s="2">
        <v>466202</v>
      </c>
      <c r="V114" s="2">
        <v>240973</v>
      </c>
      <c r="W114" s="2">
        <v>240871</v>
      </c>
      <c r="X114" s="2">
        <v>240871</v>
      </c>
      <c r="Y114" s="2">
        <v>240871</v>
      </c>
      <c r="Z114" s="2">
        <v>240855</v>
      </c>
      <c r="AA114" s="2">
        <v>241394</v>
      </c>
      <c r="AB114" s="2">
        <v>241394</v>
      </c>
      <c r="AC114" s="2">
        <v>241394</v>
      </c>
      <c r="AD114" s="2">
        <v>241394</v>
      </c>
      <c r="AE114" s="2">
        <v>241394</v>
      </c>
      <c r="AF114" s="2">
        <v>241394</v>
      </c>
      <c r="AG114" s="2">
        <v>241394</v>
      </c>
      <c r="AH114" s="2">
        <f t="shared" si="25"/>
        <v>241394</v>
      </c>
      <c r="AI114" s="2">
        <v>241394</v>
      </c>
      <c r="AJ114" s="2">
        <v>241394</v>
      </c>
      <c r="AK114" s="2">
        <v>241394</v>
      </c>
    </row>
    <row r="115" spans="1:37" x14ac:dyDescent="0.2">
      <c r="A115" s="3">
        <v>1998</v>
      </c>
      <c r="B115" s="3">
        <v>1</v>
      </c>
      <c r="G115" s="2">
        <v>356570</v>
      </c>
      <c r="H115" s="2">
        <v>356842</v>
      </c>
      <c r="I115" s="2">
        <v>356673</v>
      </c>
      <c r="J115" s="2">
        <v>452353</v>
      </c>
      <c r="K115" s="2">
        <v>461149</v>
      </c>
      <c r="L115" s="2">
        <v>460894</v>
      </c>
      <c r="M115" s="2">
        <v>460904</v>
      </c>
      <c r="N115" s="2">
        <v>464691</v>
      </c>
      <c r="O115" s="2">
        <v>464101</v>
      </c>
      <c r="P115" s="2">
        <v>464053</v>
      </c>
      <c r="Q115" s="2">
        <v>463822</v>
      </c>
      <c r="R115" s="2">
        <v>466850</v>
      </c>
      <c r="S115" s="2">
        <v>466850</v>
      </c>
      <c r="T115" s="2">
        <v>466850</v>
      </c>
      <c r="U115" s="2">
        <v>466850</v>
      </c>
      <c r="V115" s="2">
        <v>241136</v>
      </c>
      <c r="W115" s="2">
        <v>241238</v>
      </c>
      <c r="X115" s="2">
        <v>241238</v>
      </c>
      <c r="Y115" s="2">
        <v>241238</v>
      </c>
      <c r="Z115" s="2">
        <v>241283</v>
      </c>
      <c r="AA115" s="2">
        <v>241275</v>
      </c>
      <c r="AB115" s="2">
        <v>241275</v>
      </c>
      <c r="AC115" s="2">
        <v>241275</v>
      </c>
      <c r="AD115" s="2">
        <v>241275</v>
      </c>
      <c r="AE115" s="2">
        <v>241275</v>
      </c>
      <c r="AF115" s="2">
        <v>241275</v>
      </c>
      <c r="AG115" s="2">
        <v>241275</v>
      </c>
      <c r="AH115" s="2">
        <f t="shared" si="25"/>
        <v>241275</v>
      </c>
      <c r="AI115" s="2">
        <v>241275</v>
      </c>
      <c r="AJ115" s="2">
        <v>241275</v>
      </c>
      <c r="AK115" s="2">
        <v>241275</v>
      </c>
    </row>
    <row r="116" spans="1:37" x14ac:dyDescent="0.2">
      <c r="A116" s="3">
        <v>1998</v>
      </c>
      <c r="B116" s="3">
        <v>2</v>
      </c>
      <c r="H116" s="2">
        <v>358392</v>
      </c>
      <c r="I116" s="2">
        <v>358695</v>
      </c>
      <c r="J116" s="2">
        <v>456002</v>
      </c>
      <c r="K116" s="2">
        <v>462733</v>
      </c>
      <c r="L116" s="2">
        <v>463171</v>
      </c>
      <c r="M116" s="2">
        <v>463169</v>
      </c>
      <c r="N116" s="2">
        <v>466714</v>
      </c>
      <c r="O116" s="2">
        <v>466683</v>
      </c>
      <c r="P116" s="2">
        <v>466870</v>
      </c>
      <c r="Q116" s="2">
        <v>466747</v>
      </c>
      <c r="R116" s="2">
        <v>468651</v>
      </c>
      <c r="S116" s="2">
        <v>468651</v>
      </c>
      <c r="T116" s="2">
        <v>468651</v>
      </c>
      <c r="U116" s="2">
        <v>468651</v>
      </c>
      <c r="V116" s="2">
        <v>242030</v>
      </c>
      <c r="W116" s="2">
        <v>242124</v>
      </c>
      <c r="X116" s="2">
        <v>242124</v>
      </c>
      <c r="Y116" s="2">
        <v>242124</v>
      </c>
      <c r="Z116" s="2">
        <v>242255</v>
      </c>
      <c r="AA116" s="2">
        <v>242369</v>
      </c>
      <c r="AB116" s="2">
        <v>242369</v>
      </c>
      <c r="AC116" s="2">
        <v>242369</v>
      </c>
      <c r="AD116" s="2">
        <v>242369</v>
      </c>
      <c r="AE116" s="2">
        <v>242369</v>
      </c>
      <c r="AF116" s="2">
        <v>242369</v>
      </c>
      <c r="AG116" s="2">
        <v>242369</v>
      </c>
      <c r="AH116" s="2">
        <f t="shared" si="25"/>
        <v>242369</v>
      </c>
      <c r="AI116" s="2">
        <v>242369</v>
      </c>
      <c r="AJ116" s="2">
        <v>242369</v>
      </c>
      <c r="AK116" s="2">
        <v>242369</v>
      </c>
    </row>
    <row r="117" spans="1:37" x14ac:dyDescent="0.2">
      <c r="A117" s="3">
        <v>1998</v>
      </c>
      <c r="B117" s="3">
        <v>3</v>
      </c>
      <c r="I117" s="2">
        <v>360499</v>
      </c>
      <c r="J117" s="2">
        <v>458478</v>
      </c>
      <c r="K117" s="2">
        <v>465594</v>
      </c>
      <c r="L117" s="2">
        <v>465966</v>
      </c>
      <c r="M117" s="2">
        <v>465780</v>
      </c>
      <c r="N117" s="2">
        <v>468476</v>
      </c>
      <c r="O117" s="2">
        <v>469284</v>
      </c>
      <c r="P117" s="2">
        <v>469171</v>
      </c>
      <c r="Q117" s="2">
        <v>469417</v>
      </c>
      <c r="R117" s="2">
        <v>471699</v>
      </c>
      <c r="S117" s="2">
        <v>471699</v>
      </c>
      <c r="T117" s="2">
        <v>471699</v>
      </c>
      <c r="U117" s="2">
        <v>471699</v>
      </c>
      <c r="V117" s="2">
        <v>243480</v>
      </c>
      <c r="W117" s="2">
        <v>243456</v>
      </c>
      <c r="X117" s="2">
        <v>243456</v>
      </c>
      <c r="Y117" s="2">
        <v>243456</v>
      </c>
      <c r="Z117" s="2">
        <v>243354</v>
      </c>
      <c r="AA117" s="2">
        <v>243112</v>
      </c>
      <c r="AB117" s="2">
        <v>243112</v>
      </c>
      <c r="AC117" s="2">
        <v>243112</v>
      </c>
      <c r="AD117" s="2">
        <v>243112</v>
      </c>
      <c r="AE117" s="2">
        <v>243112</v>
      </c>
      <c r="AF117" s="2">
        <v>243112</v>
      </c>
      <c r="AG117" s="2">
        <v>243112</v>
      </c>
      <c r="AH117" s="2">
        <f t="shared" si="25"/>
        <v>243112</v>
      </c>
      <c r="AI117" s="2">
        <v>243112</v>
      </c>
      <c r="AJ117" s="2">
        <v>243112</v>
      </c>
      <c r="AK117" s="2">
        <v>243112</v>
      </c>
    </row>
    <row r="118" spans="1:37" x14ac:dyDescent="0.2">
      <c r="A118" s="3">
        <v>1998</v>
      </c>
      <c r="B118" s="3">
        <v>4</v>
      </c>
      <c r="J118" s="2">
        <v>457170</v>
      </c>
      <c r="K118" s="2">
        <v>464457</v>
      </c>
      <c r="L118" s="2">
        <v>463902</v>
      </c>
      <c r="M118" s="2">
        <v>464081</v>
      </c>
      <c r="N118" s="2">
        <v>467915</v>
      </c>
      <c r="O118" s="2">
        <v>467730</v>
      </c>
      <c r="P118" s="2">
        <v>467703</v>
      </c>
      <c r="Q118" s="2">
        <v>467811</v>
      </c>
      <c r="R118" s="2">
        <v>469608</v>
      </c>
      <c r="S118" s="2">
        <v>469608</v>
      </c>
      <c r="T118" s="2">
        <v>469608</v>
      </c>
      <c r="U118" s="2">
        <v>469608</v>
      </c>
      <c r="V118" s="2">
        <v>242484</v>
      </c>
      <c r="W118" s="2">
        <v>242312</v>
      </c>
      <c r="X118" s="2">
        <v>242312</v>
      </c>
      <c r="Y118" s="2">
        <v>242312</v>
      </c>
      <c r="Z118" s="2">
        <v>242237</v>
      </c>
      <c r="AA118" s="2">
        <v>241927</v>
      </c>
      <c r="AB118" s="2">
        <v>241927</v>
      </c>
      <c r="AC118" s="2">
        <v>241927</v>
      </c>
      <c r="AD118" s="2">
        <v>241927</v>
      </c>
      <c r="AE118" s="2">
        <v>241927</v>
      </c>
      <c r="AF118" s="2">
        <v>241927</v>
      </c>
      <c r="AG118" s="2">
        <v>241927</v>
      </c>
      <c r="AH118" s="2">
        <f t="shared" si="25"/>
        <v>241927</v>
      </c>
      <c r="AI118" s="2">
        <v>241927</v>
      </c>
      <c r="AJ118" s="2">
        <v>241927</v>
      </c>
      <c r="AK118" s="2">
        <v>241927</v>
      </c>
    </row>
    <row r="119" spans="1:37" x14ac:dyDescent="0.2">
      <c r="A119" s="3">
        <v>1999</v>
      </c>
      <c r="B119" s="3">
        <v>1</v>
      </c>
      <c r="K119" s="2">
        <v>465212</v>
      </c>
      <c r="L119" s="2">
        <v>464746</v>
      </c>
      <c r="M119" s="2">
        <v>465105</v>
      </c>
      <c r="N119" s="2">
        <v>469382</v>
      </c>
      <c r="O119" s="2">
        <v>468985</v>
      </c>
      <c r="P119" s="2">
        <v>469069</v>
      </c>
      <c r="Q119" s="2">
        <v>469432</v>
      </c>
      <c r="R119" s="2">
        <v>471880</v>
      </c>
      <c r="S119" s="2">
        <v>471924</v>
      </c>
      <c r="T119" s="2">
        <v>471337</v>
      </c>
      <c r="U119" s="2">
        <v>471197</v>
      </c>
      <c r="V119" s="2">
        <v>243340</v>
      </c>
      <c r="W119" s="2">
        <v>243503</v>
      </c>
      <c r="X119" s="2">
        <v>243503</v>
      </c>
      <c r="Y119" s="2">
        <v>243503</v>
      </c>
      <c r="Z119" s="2">
        <v>243686</v>
      </c>
      <c r="AA119" s="2">
        <v>243593</v>
      </c>
      <c r="AB119" s="2">
        <v>243593</v>
      </c>
      <c r="AC119" s="2">
        <v>243593</v>
      </c>
      <c r="AD119" s="2">
        <v>243544</v>
      </c>
      <c r="AE119" s="2">
        <v>243411</v>
      </c>
      <c r="AF119" s="2">
        <v>243411</v>
      </c>
      <c r="AG119" s="2">
        <v>243411</v>
      </c>
      <c r="AH119" s="53">
        <v>243411</v>
      </c>
      <c r="AI119" s="2">
        <v>243411</v>
      </c>
      <c r="AJ119" s="2">
        <v>243411</v>
      </c>
      <c r="AK119" s="2">
        <v>243411</v>
      </c>
    </row>
    <row r="120" spans="1:37" x14ac:dyDescent="0.2">
      <c r="A120" s="3">
        <v>1999</v>
      </c>
      <c r="B120" s="3">
        <v>2</v>
      </c>
      <c r="L120" s="2">
        <v>466690</v>
      </c>
      <c r="M120" s="2">
        <v>466862</v>
      </c>
      <c r="N120" s="2">
        <v>471917</v>
      </c>
      <c r="O120" s="2">
        <v>471757</v>
      </c>
      <c r="P120" s="2">
        <v>472043</v>
      </c>
      <c r="Q120" s="2">
        <v>471533</v>
      </c>
      <c r="R120" s="2">
        <v>474759</v>
      </c>
      <c r="S120" s="2">
        <v>474678</v>
      </c>
      <c r="T120" s="2">
        <v>474931</v>
      </c>
      <c r="U120" s="2">
        <v>474516</v>
      </c>
      <c r="V120" s="2">
        <v>244723</v>
      </c>
      <c r="W120" s="2">
        <v>244682</v>
      </c>
      <c r="X120" s="2">
        <v>244682</v>
      </c>
      <c r="Y120" s="2">
        <v>244682</v>
      </c>
      <c r="Z120" s="2">
        <v>244987</v>
      </c>
      <c r="AA120" s="2">
        <v>245051</v>
      </c>
      <c r="AB120" s="2">
        <v>245051</v>
      </c>
      <c r="AC120" s="2">
        <v>245051</v>
      </c>
      <c r="AD120" s="2">
        <v>244937</v>
      </c>
      <c r="AE120" s="2">
        <v>244794</v>
      </c>
      <c r="AF120" s="2">
        <v>244794</v>
      </c>
      <c r="AG120" s="2">
        <v>244794</v>
      </c>
      <c r="AH120" s="53">
        <v>244794</v>
      </c>
      <c r="AI120" s="2">
        <v>244794</v>
      </c>
      <c r="AJ120" s="2">
        <v>244794</v>
      </c>
      <c r="AK120" s="2">
        <v>244794</v>
      </c>
    </row>
    <row r="121" spans="1:37" x14ac:dyDescent="0.2">
      <c r="A121" s="3">
        <v>1999</v>
      </c>
      <c r="B121" s="3">
        <v>3</v>
      </c>
      <c r="M121" s="2">
        <v>471220</v>
      </c>
      <c r="N121" s="2">
        <v>475536</v>
      </c>
      <c r="O121" s="2">
        <v>475381</v>
      </c>
      <c r="P121" s="2">
        <v>475378</v>
      </c>
      <c r="Q121" s="2">
        <v>475346</v>
      </c>
      <c r="R121" s="2">
        <v>478243</v>
      </c>
      <c r="S121" s="2">
        <v>478000</v>
      </c>
      <c r="T121" s="2">
        <v>478263</v>
      </c>
      <c r="U121" s="2">
        <v>478443</v>
      </c>
      <c r="V121" s="2">
        <v>246973</v>
      </c>
      <c r="W121" s="2">
        <v>246951</v>
      </c>
      <c r="X121" s="2">
        <v>246951</v>
      </c>
      <c r="Y121" s="2">
        <v>246951</v>
      </c>
      <c r="Z121" s="2">
        <v>246984</v>
      </c>
      <c r="AA121" s="2">
        <v>246842</v>
      </c>
      <c r="AB121" s="2">
        <v>246842</v>
      </c>
      <c r="AC121" s="2">
        <v>246842</v>
      </c>
      <c r="AD121" s="2">
        <v>246710</v>
      </c>
      <c r="AE121" s="2">
        <v>246867</v>
      </c>
      <c r="AF121" s="2">
        <v>246867</v>
      </c>
      <c r="AG121" s="2">
        <v>246867</v>
      </c>
      <c r="AH121" s="53">
        <v>246867</v>
      </c>
      <c r="AI121" s="2">
        <v>246867</v>
      </c>
      <c r="AJ121" s="2">
        <v>246867</v>
      </c>
      <c r="AK121" s="2">
        <v>246867</v>
      </c>
    </row>
    <row r="122" spans="1:37" x14ac:dyDescent="0.2">
      <c r="A122" s="3">
        <v>1999</v>
      </c>
      <c r="B122" s="3">
        <v>4</v>
      </c>
      <c r="N122" s="2">
        <v>477572</v>
      </c>
      <c r="O122" s="2">
        <v>478285</v>
      </c>
      <c r="P122" s="2">
        <v>477918</v>
      </c>
      <c r="Q122" s="2">
        <v>478097</v>
      </c>
      <c r="R122" s="2">
        <v>482183</v>
      </c>
      <c r="S122" s="2">
        <v>482462</v>
      </c>
      <c r="T122" s="2">
        <v>482534</v>
      </c>
      <c r="U122" s="2">
        <v>482908</v>
      </c>
      <c r="V122" s="2">
        <v>249530</v>
      </c>
      <c r="W122" s="2">
        <v>249431</v>
      </c>
      <c r="X122" s="2">
        <v>249431</v>
      </c>
      <c r="Y122" s="2">
        <v>249431</v>
      </c>
      <c r="Z122" s="2">
        <v>249596</v>
      </c>
      <c r="AA122" s="2">
        <v>249191</v>
      </c>
      <c r="AB122" s="2">
        <v>249191</v>
      </c>
      <c r="AC122" s="2">
        <v>249191</v>
      </c>
      <c r="AD122" s="2">
        <v>249521</v>
      </c>
      <c r="AE122" s="2">
        <v>249641</v>
      </c>
      <c r="AF122" s="2">
        <v>249641</v>
      </c>
      <c r="AG122" s="2">
        <v>249641</v>
      </c>
      <c r="AH122" s="53">
        <v>249641</v>
      </c>
      <c r="AI122" s="2">
        <v>249641</v>
      </c>
      <c r="AJ122" s="2">
        <v>249641</v>
      </c>
      <c r="AK122" s="2">
        <v>249641</v>
      </c>
    </row>
    <row r="123" spans="1:37" x14ac:dyDescent="0.2">
      <c r="A123" s="3">
        <v>2000</v>
      </c>
      <c r="B123" s="3">
        <v>1</v>
      </c>
      <c r="O123" s="2">
        <v>482979</v>
      </c>
      <c r="P123" s="2">
        <v>483026</v>
      </c>
      <c r="Q123" s="2">
        <v>483324</v>
      </c>
      <c r="R123" s="2">
        <v>487460</v>
      </c>
      <c r="S123" s="2">
        <v>487385</v>
      </c>
      <c r="T123" s="2">
        <v>486960</v>
      </c>
      <c r="U123" s="2">
        <v>487266</v>
      </c>
      <c r="V123" s="2">
        <v>251466</v>
      </c>
      <c r="W123" s="2">
        <v>251229</v>
      </c>
      <c r="X123" s="2">
        <v>251223</v>
      </c>
      <c r="Y123" s="2">
        <v>251300</v>
      </c>
      <c r="Z123" s="2">
        <v>252006</v>
      </c>
      <c r="AA123" s="2">
        <v>252040</v>
      </c>
      <c r="AB123" s="2">
        <v>252040</v>
      </c>
      <c r="AC123" s="2">
        <v>252040</v>
      </c>
      <c r="AD123" s="2">
        <v>251845</v>
      </c>
      <c r="AE123" s="2">
        <v>252002</v>
      </c>
      <c r="AF123" s="2">
        <v>252002</v>
      </c>
      <c r="AG123" s="2">
        <v>252002</v>
      </c>
      <c r="AH123" s="53">
        <v>252002</v>
      </c>
      <c r="AI123" s="2">
        <v>252002</v>
      </c>
      <c r="AJ123" s="2">
        <v>252002</v>
      </c>
      <c r="AK123" s="2">
        <v>252002</v>
      </c>
    </row>
    <row r="124" spans="1:37" x14ac:dyDescent="0.2">
      <c r="A124" s="3">
        <v>2000</v>
      </c>
      <c r="B124" s="3">
        <v>2</v>
      </c>
      <c r="P124" s="2">
        <v>484354</v>
      </c>
      <c r="Q124" s="2">
        <v>484525</v>
      </c>
      <c r="R124" s="2">
        <v>488468</v>
      </c>
      <c r="S124" s="2">
        <v>489069</v>
      </c>
      <c r="T124" s="2">
        <v>489273</v>
      </c>
      <c r="U124" s="2">
        <v>489159</v>
      </c>
      <c r="V124" s="2">
        <v>252265</v>
      </c>
      <c r="W124" s="2">
        <v>252126</v>
      </c>
      <c r="X124" s="2">
        <v>252071</v>
      </c>
      <c r="Y124" s="2">
        <v>252066</v>
      </c>
      <c r="Z124" s="2">
        <v>252979</v>
      </c>
      <c r="AA124" s="2">
        <v>253346</v>
      </c>
      <c r="AB124" s="2">
        <v>253346</v>
      </c>
      <c r="AC124" s="2">
        <v>253346</v>
      </c>
      <c r="AD124" s="2">
        <v>253014</v>
      </c>
      <c r="AE124" s="2">
        <v>252942</v>
      </c>
      <c r="AF124" s="2">
        <v>252942</v>
      </c>
      <c r="AG124" s="2">
        <v>252942</v>
      </c>
      <c r="AH124" s="53">
        <v>252942</v>
      </c>
      <c r="AI124" s="2">
        <v>252942</v>
      </c>
      <c r="AJ124" s="2">
        <v>252942</v>
      </c>
      <c r="AK124" s="2">
        <v>252942</v>
      </c>
    </row>
    <row r="125" spans="1:37" x14ac:dyDescent="0.2">
      <c r="A125" s="3">
        <v>2000</v>
      </c>
      <c r="B125" s="3">
        <v>3</v>
      </c>
      <c r="Q125" s="2">
        <v>487431</v>
      </c>
      <c r="R125" s="2">
        <v>491309</v>
      </c>
      <c r="S125" s="2">
        <v>491097</v>
      </c>
      <c r="T125" s="2">
        <v>491211</v>
      </c>
      <c r="U125" s="2">
        <v>491054</v>
      </c>
      <c r="V125" s="2">
        <v>253501</v>
      </c>
      <c r="W125" s="2">
        <v>253594</v>
      </c>
      <c r="X125" s="2">
        <v>253542</v>
      </c>
      <c r="Y125" s="2">
        <v>253476</v>
      </c>
      <c r="Z125" s="2">
        <v>254448</v>
      </c>
      <c r="AA125" s="2">
        <v>254889</v>
      </c>
      <c r="AB125" s="2">
        <v>254889</v>
      </c>
      <c r="AC125" s="2">
        <v>254889</v>
      </c>
      <c r="AD125" s="2">
        <v>254612</v>
      </c>
      <c r="AE125" s="2">
        <v>254870</v>
      </c>
      <c r="AF125" s="2">
        <v>254870</v>
      </c>
      <c r="AG125" s="2">
        <v>254870</v>
      </c>
      <c r="AH125" s="53">
        <v>254870</v>
      </c>
      <c r="AI125" s="2">
        <v>254870</v>
      </c>
      <c r="AJ125" s="2">
        <v>254870</v>
      </c>
      <c r="AK125" s="2">
        <v>254870</v>
      </c>
    </row>
    <row r="126" spans="1:37" x14ac:dyDescent="0.2">
      <c r="A126" s="3">
        <v>2000</v>
      </c>
      <c r="B126" s="3">
        <v>4</v>
      </c>
      <c r="R126" s="2">
        <v>495413</v>
      </c>
      <c r="S126" s="2">
        <v>495098</v>
      </c>
      <c r="T126" s="2">
        <v>495205</v>
      </c>
      <c r="U126" s="2">
        <v>495171</v>
      </c>
      <c r="V126" s="2">
        <v>255570</v>
      </c>
      <c r="W126" s="2">
        <v>255854</v>
      </c>
      <c r="X126" s="2">
        <v>255967</v>
      </c>
      <c r="Y126" s="2">
        <v>255960</v>
      </c>
      <c r="Z126" s="2">
        <v>256759</v>
      </c>
      <c r="AA126" s="2">
        <v>256806</v>
      </c>
      <c r="AB126" s="2">
        <v>256806</v>
      </c>
      <c r="AC126" s="2">
        <v>256806</v>
      </c>
      <c r="AD126" s="2">
        <v>256375</v>
      </c>
      <c r="AE126" s="2">
        <v>256031</v>
      </c>
      <c r="AF126" s="2">
        <v>256031</v>
      </c>
      <c r="AG126" s="2">
        <v>256031</v>
      </c>
      <c r="AH126" s="53">
        <v>256031</v>
      </c>
      <c r="AI126" s="2">
        <v>256031</v>
      </c>
      <c r="AJ126" s="2">
        <v>256031</v>
      </c>
      <c r="AK126" s="2">
        <v>256031</v>
      </c>
    </row>
    <row r="127" spans="1:37" x14ac:dyDescent="0.2">
      <c r="A127" s="3">
        <v>2001</v>
      </c>
      <c r="B127" s="3">
        <v>1</v>
      </c>
      <c r="S127" s="2">
        <v>499250</v>
      </c>
      <c r="T127" s="2">
        <v>499334</v>
      </c>
      <c r="U127" s="2">
        <v>499546</v>
      </c>
      <c r="V127" s="2">
        <v>257726</v>
      </c>
      <c r="W127" s="2">
        <v>257631</v>
      </c>
      <c r="X127" s="2">
        <v>257626</v>
      </c>
      <c r="Y127" s="2">
        <v>257665</v>
      </c>
      <c r="Z127" s="2">
        <v>258575</v>
      </c>
      <c r="AA127" s="2">
        <v>258684</v>
      </c>
      <c r="AB127" s="2">
        <v>258713</v>
      </c>
      <c r="AC127" s="2">
        <v>258732</v>
      </c>
      <c r="AD127" s="2">
        <v>258296</v>
      </c>
      <c r="AE127" s="2">
        <v>258250</v>
      </c>
      <c r="AF127" s="2">
        <v>258250</v>
      </c>
      <c r="AG127" s="2">
        <v>258250</v>
      </c>
      <c r="AH127" s="53">
        <v>258250</v>
      </c>
      <c r="AI127" s="2">
        <v>258250</v>
      </c>
      <c r="AJ127" s="2">
        <v>258250</v>
      </c>
      <c r="AK127" s="2">
        <v>258250</v>
      </c>
    </row>
    <row r="128" spans="1:37" x14ac:dyDescent="0.2">
      <c r="A128" s="3">
        <v>2001</v>
      </c>
      <c r="B128" s="3">
        <v>2</v>
      </c>
      <c r="T128" s="2">
        <v>499490</v>
      </c>
      <c r="U128" s="2">
        <v>499441</v>
      </c>
      <c r="V128" s="2">
        <v>257712</v>
      </c>
      <c r="W128" s="2">
        <v>257864</v>
      </c>
      <c r="X128" s="2">
        <v>257801</v>
      </c>
      <c r="Y128" s="2">
        <v>257867</v>
      </c>
      <c r="Z128" s="2">
        <v>258654</v>
      </c>
      <c r="AA128" s="2">
        <v>258580</v>
      </c>
      <c r="AB128" s="2">
        <v>258627</v>
      </c>
      <c r="AC128" s="2">
        <v>258624</v>
      </c>
      <c r="AD128" s="2">
        <v>258266</v>
      </c>
      <c r="AE128" s="2">
        <v>258332</v>
      </c>
      <c r="AF128" s="2">
        <v>258332</v>
      </c>
      <c r="AG128" s="2">
        <v>258332</v>
      </c>
      <c r="AH128" s="53">
        <v>258332</v>
      </c>
      <c r="AI128" s="2">
        <v>258332</v>
      </c>
      <c r="AJ128" s="2">
        <v>258332</v>
      </c>
      <c r="AK128" s="2">
        <v>258332</v>
      </c>
    </row>
    <row r="129" spans="1:37" x14ac:dyDescent="0.2">
      <c r="A129" s="3">
        <v>2001</v>
      </c>
      <c r="B129" s="3">
        <v>3</v>
      </c>
      <c r="U129" s="2">
        <v>500216</v>
      </c>
      <c r="V129" s="2">
        <v>258005</v>
      </c>
      <c r="W129" s="2">
        <v>257951</v>
      </c>
      <c r="X129" s="2">
        <v>257974</v>
      </c>
      <c r="Y129" s="2">
        <v>257824</v>
      </c>
      <c r="Z129" s="2">
        <v>258831</v>
      </c>
      <c r="AA129" s="2">
        <v>258692</v>
      </c>
      <c r="AB129" s="2">
        <v>258655</v>
      </c>
      <c r="AC129" s="2">
        <v>258702</v>
      </c>
      <c r="AD129" s="2">
        <v>258235</v>
      </c>
      <c r="AE129" s="2">
        <v>258233</v>
      </c>
      <c r="AF129" s="2">
        <v>258233</v>
      </c>
      <c r="AG129" s="2">
        <v>258233</v>
      </c>
      <c r="AH129" s="53">
        <v>258233</v>
      </c>
      <c r="AI129" s="2">
        <v>258233</v>
      </c>
      <c r="AJ129" s="2">
        <v>258233</v>
      </c>
      <c r="AK129" s="2">
        <v>258233</v>
      </c>
    </row>
    <row r="130" spans="1:37" x14ac:dyDescent="0.2">
      <c r="A130" s="3">
        <v>2001</v>
      </c>
      <c r="B130" s="3">
        <v>4</v>
      </c>
      <c r="V130" s="2">
        <v>257467</v>
      </c>
      <c r="W130" s="2">
        <v>257337</v>
      </c>
      <c r="X130" s="2">
        <v>257381</v>
      </c>
      <c r="Y130" s="2">
        <v>257426</v>
      </c>
      <c r="Z130" s="2">
        <v>258489</v>
      </c>
      <c r="AA130" s="2">
        <v>258536</v>
      </c>
      <c r="AB130" s="2">
        <v>258497</v>
      </c>
      <c r="AC130" s="2">
        <v>258435</v>
      </c>
      <c r="AD130" s="2">
        <v>258021</v>
      </c>
      <c r="AE130" s="2">
        <v>258003</v>
      </c>
      <c r="AF130" s="2">
        <v>258003</v>
      </c>
      <c r="AG130" s="2">
        <v>258003</v>
      </c>
      <c r="AH130" s="53">
        <v>258003</v>
      </c>
      <c r="AI130" s="2">
        <v>258003</v>
      </c>
      <c r="AJ130" s="2">
        <v>258003</v>
      </c>
      <c r="AK130" s="2">
        <v>258003</v>
      </c>
    </row>
    <row r="131" spans="1:37" x14ac:dyDescent="0.2">
      <c r="A131" s="3">
        <v>2002</v>
      </c>
      <c r="B131" s="3">
        <v>1</v>
      </c>
      <c r="W131" s="2">
        <v>257821</v>
      </c>
      <c r="X131" s="2">
        <v>257679</v>
      </c>
      <c r="Y131" s="2">
        <v>257765</v>
      </c>
      <c r="Z131" s="2">
        <v>258500</v>
      </c>
      <c r="AA131" s="2">
        <v>258499</v>
      </c>
      <c r="AB131" s="2">
        <v>258525</v>
      </c>
      <c r="AC131" s="2">
        <v>258553</v>
      </c>
      <c r="AD131" s="2">
        <v>258054</v>
      </c>
      <c r="AE131" s="2">
        <v>258078</v>
      </c>
      <c r="AF131" s="2">
        <v>258117</v>
      </c>
      <c r="AG131" s="2">
        <v>258042</v>
      </c>
      <c r="AH131" s="53">
        <v>258082</v>
      </c>
      <c r="AI131" s="2">
        <v>258082</v>
      </c>
      <c r="AJ131" s="2">
        <v>258082</v>
      </c>
      <c r="AK131" s="2">
        <v>258082</v>
      </c>
    </row>
    <row r="132" spans="1:37" x14ac:dyDescent="0.2">
      <c r="A132" s="3">
        <v>2002</v>
      </c>
      <c r="B132" s="3">
        <v>2</v>
      </c>
      <c r="X132" s="2">
        <v>258264</v>
      </c>
      <c r="Y132" s="2">
        <v>258292</v>
      </c>
      <c r="Z132" s="2">
        <v>259029</v>
      </c>
      <c r="AA132" s="2">
        <v>259403</v>
      </c>
      <c r="AB132" s="2">
        <v>259301</v>
      </c>
      <c r="AC132" s="2">
        <v>259273</v>
      </c>
      <c r="AD132" s="2">
        <v>258782</v>
      </c>
      <c r="AE132" s="2">
        <v>258847</v>
      </c>
      <c r="AF132" s="2">
        <v>258905</v>
      </c>
      <c r="AG132" s="2">
        <v>258896</v>
      </c>
      <c r="AH132" s="53">
        <v>258930</v>
      </c>
      <c r="AI132" s="2">
        <v>258930</v>
      </c>
      <c r="AJ132" s="2">
        <v>258930</v>
      </c>
      <c r="AK132" s="2">
        <v>258930</v>
      </c>
    </row>
    <row r="133" spans="1:37" x14ac:dyDescent="0.2">
      <c r="A133" s="3">
        <v>2002</v>
      </c>
      <c r="B133" s="3">
        <v>3</v>
      </c>
      <c r="Y133" s="2">
        <v>259026</v>
      </c>
      <c r="Z133" s="2">
        <v>259897</v>
      </c>
      <c r="AA133" s="2">
        <v>259709</v>
      </c>
      <c r="AB133" s="2">
        <v>259772</v>
      </c>
      <c r="AC133" s="2">
        <v>259803</v>
      </c>
      <c r="AD133" s="2">
        <v>259410</v>
      </c>
      <c r="AE133" s="2">
        <v>259398</v>
      </c>
      <c r="AF133" s="2">
        <v>259399</v>
      </c>
      <c r="AG133" s="2">
        <v>259439</v>
      </c>
      <c r="AH133" s="53">
        <v>259581</v>
      </c>
      <c r="AI133" s="2">
        <v>259581</v>
      </c>
      <c r="AJ133" s="2">
        <v>259581</v>
      </c>
      <c r="AK133" s="2">
        <v>259581</v>
      </c>
    </row>
    <row r="134" spans="1:37" x14ac:dyDescent="0.2">
      <c r="A134" s="3">
        <v>2002</v>
      </c>
      <c r="B134" s="3">
        <v>4</v>
      </c>
      <c r="Z134" s="2">
        <v>260969</v>
      </c>
      <c r="AA134" s="2">
        <v>260794</v>
      </c>
      <c r="AB134" s="2">
        <v>260808</v>
      </c>
      <c r="AC134" s="2">
        <v>260777</v>
      </c>
      <c r="AD134" s="2">
        <v>260358</v>
      </c>
      <c r="AE134" s="2">
        <v>260280</v>
      </c>
      <c r="AF134" s="2">
        <v>260183</v>
      </c>
      <c r="AG134" s="2">
        <v>260227</v>
      </c>
      <c r="AH134" s="53">
        <v>260364</v>
      </c>
      <c r="AI134" s="2">
        <v>260364</v>
      </c>
      <c r="AJ134" s="2">
        <v>260364</v>
      </c>
      <c r="AK134" s="2">
        <v>260364</v>
      </c>
    </row>
    <row r="135" spans="1:37" x14ac:dyDescent="0.2">
      <c r="A135" s="3">
        <v>2003</v>
      </c>
      <c r="B135" s="3">
        <v>1</v>
      </c>
      <c r="AA135" s="2">
        <v>260550</v>
      </c>
      <c r="AB135" s="2">
        <v>260423</v>
      </c>
      <c r="AC135" s="2">
        <v>260276</v>
      </c>
      <c r="AD135" s="2">
        <v>259723</v>
      </c>
      <c r="AE135" s="2">
        <v>259744</v>
      </c>
      <c r="AF135" s="2">
        <v>259793</v>
      </c>
      <c r="AG135" s="2">
        <v>259829</v>
      </c>
      <c r="AH135" s="53">
        <v>259948</v>
      </c>
      <c r="AI135" s="2">
        <v>259946</v>
      </c>
      <c r="AJ135" s="2">
        <v>260016</v>
      </c>
      <c r="AK135" s="2">
        <v>260007</v>
      </c>
    </row>
    <row r="136" spans="1:37" x14ac:dyDescent="0.2">
      <c r="A136" s="3">
        <v>2003</v>
      </c>
      <c r="B136" s="3">
        <v>2</v>
      </c>
      <c r="AB136" s="2">
        <v>260202</v>
      </c>
      <c r="AC136" s="2">
        <v>259942</v>
      </c>
      <c r="AD136" s="2">
        <v>259425</v>
      </c>
      <c r="AE136" s="2">
        <v>259457</v>
      </c>
      <c r="AF136" s="2">
        <v>259458</v>
      </c>
      <c r="AG136" s="2">
        <v>259471</v>
      </c>
      <c r="AH136" s="53">
        <v>259572</v>
      </c>
      <c r="AI136" s="2">
        <v>259548</v>
      </c>
      <c r="AJ136" s="2">
        <v>259566</v>
      </c>
      <c r="AK136" s="2">
        <v>259466</v>
      </c>
    </row>
    <row r="137" spans="1:37" x14ac:dyDescent="0.2">
      <c r="A137" s="3">
        <v>2003</v>
      </c>
      <c r="B137" s="3">
        <v>3</v>
      </c>
      <c r="AC137" s="2">
        <v>261232</v>
      </c>
      <c r="AD137" s="2">
        <v>260591</v>
      </c>
      <c r="AE137" s="2">
        <v>260545</v>
      </c>
      <c r="AF137" s="2">
        <v>260510</v>
      </c>
      <c r="AG137" s="2">
        <v>260479</v>
      </c>
      <c r="AH137" s="53">
        <v>260595</v>
      </c>
      <c r="AI137" s="2">
        <v>260596</v>
      </c>
      <c r="AJ137" s="2">
        <v>260575</v>
      </c>
      <c r="AK137" s="2">
        <v>260583</v>
      </c>
    </row>
    <row r="138" spans="1:37" x14ac:dyDescent="0.2">
      <c r="A138" s="3">
        <v>2003</v>
      </c>
      <c r="B138" s="3">
        <v>4</v>
      </c>
      <c r="AD138" s="2">
        <v>260561</v>
      </c>
      <c r="AE138" s="2">
        <v>260555</v>
      </c>
      <c r="AF138" s="2">
        <v>260541</v>
      </c>
      <c r="AG138" s="2">
        <v>260521</v>
      </c>
      <c r="AH138" s="53">
        <v>260521</v>
      </c>
      <c r="AI138" s="2">
        <v>260546</v>
      </c>
      <c r="AJ138" s="2">
        <v>260479</v>
      </c>
      <c r="AK138" s="2">
        <v>260579</v>
      </c>
    </row>
    <row r="139" spans="1:37" x14ac:dyDescent="0.2">
      <c r="A139" s="3">
        <v>2004</v>
      </c>
      <c r="B139" s="3">
        <v>1</v>
      </c>
      <c r="AE139" s="2">
        <v>261700</v>
      </c>
      <c r="AF139" s="2">
        <v>261908</v>
      </c>
      <c r="AG139" s="2">
        <v>261949</v>
      </c>
      <c r="AH139" s="53">
        <v>261732</v>
      </c>
      <c r="AI139" s="2">
        <v>261758</v>
      </c>
      <c r="AJ139" s="2">
        <v>261813</v>
      </c>
      <c r="AK139" s="2">
        <v>261845</v>
      </c>
    </row>
    <row r="140" spans="1:37" x14ac:dyDescent="0.2">
      <c r="A140" s="3">
        <v>2004</v>
      </c>
      <c r="B140" s="3">
        <v>2</v>
      </c>
      <c r="AF140" s="2">
        <v>262651</v>
      </c>
      <c r="AG140" s="2">
        <v>262890</v>
      </c>
      <c r="AH140" s="53">
        <v>262661</v>
      </c>
      <c r="AI140" s="2">
        <v>262707</v>
      </c>
      <c r="AJ140" s="2">
        <v>262620</v>
      </c>
      <c r="AK140" s="2">
        <v>262592</v>
      </c>
    </row>
    <row r="141" spans="1:37" x14ac:dyDescent="0.2">
      <c r="A141" s="3">
        <v>2004</v>
      </c>
      <c r="B141" s="3">
        <v>3</v>
      </c>
      <c r="AG141" s="2">
        <v>263979</v>
      </c>
      <c r="AH141" s="53">
        <v>263711</v>
      </c>
      <c r="AI141" s="2">
        <v>263686</v>
      </c>
      <c r="AJ141" s="2">
        <v>263663</v>
      </c>
      <c r="AK141" s="2">
        <v>263637</v>
      </c>
    </row>
    <row r="142" spans="1:37" x14ac:dyDescent="0.2">
      <c r="A142" s="3">
        <v>2004</v>
      </c>
      <c r="B142" s="3">
        <v>4</v>
      </c>
      <c r="AH142" s="53">
        <v>262584</v>
      </c>
      <c r="AI142" s="2">
        <v>262536</v>
      </c>
      <c r="AJ142" s="2">
        <v>262591</v>
      </c>
      <c r="AK142" s="2">
        <v>262614</v>
      </c>
    </row>
    <row r="143" spans="1:37" x14ac:dyDescent="0.2">
      <c r="A143" s="3">
        <v>2005</v>
      </c>
      <c r="B143" s="3">
        <v>1</v>
      </c>
      <c r="AI143" s="2">
        <v>261190</v>
      </c>
      <c r="AJ143" s="2">
        <v>261222</v>
      </c>
      <c r="AK143" s="2">
        <v>261181</v>
      </c>
    </row>
    <row r="144" spans="1:37" x14ac:dyDescent="0.2">
      <c r="A144" s="3">
        <v>2005</v>
      </c>
      <c r="B144" s="3">
        <v>2</v>
      </c>
      <c r="AJ144" s="2">
        <v>262948</v>
      </c>
      <c r="AK144" s="2">
        <v>263087</v>
      </c>
    </row>
    <row r="145" spans="1:37" x14ac:dyDescent="0.2">
      <c r="A145" s="3">
        <v>2005</v>
      </c>
      <c r="B145" s="3">
        <v>3</v>
      </c>
      <c r="AK145" s="2">
        <v>263800</v>
      </c>
    </row>
    <row r="146" spans="1:37" x14ac:dyDescent="0.2">
      <c r="A146" s="3">
        <v>2005</v>
      </c>
      <c r="B146" s="3">
        <v>4</v>
      </c>
    </row>
    <row r="147" spans="1:37" x14ac:dyDescent="0.2">
      <c r="A147" s="3">
        <v>2006</v>
      </c>
      <c r="B147" s="3">
        <v>1</v>
      </c>
    </row>
    <row r="148" spans="1:37" x14ac:dyDescent="0.2">
      <c r="A148" s="3">
        <v>2006</v>
      </c>
      <c r="B148" s="3">
        <v>2</v>
      </c>
    </row>
    <row r="149" spans="1:37" x14ac:dyDescent="0.2">
      <c r="A149" s="3">
        <v>2006</v>
      </c>
      <c r="B149" s="3">
        <v>3</v>
      </c>
    </row>
    <row r="150" spans="1:37" x14ac:dyDescent="0.2">
      <c r="A150" s="3">
        <v>2006</v>
      </c>
      <c r="B150" s="3">
        <v>4</v>
      </c>
    </row>
  </sheetData>
  <phoneticPr fontId="6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214"/>
  <sheetViews>
    <sheetView workbookViewId="0">
      <pane xSplit="2" ySplit="2" topLeftCell="U165" activePane="bottomRight" state="frozen"/>
      <selection pane="topRight" activeCell="C1" sqref="C1"/>
      <selection pane="bottomLeft" activeCell="A3" sqref="A3"/>
      <selection pane="bottomRight" activeCell="AK180" sqref="AK180"/>
    </sheetView>
  </sheetViews>
  <sheetFormatPr defaultColWidth="8.77734375" defaultRowHeight="10.199999999999999" x14ac:dyDescent="0.2"/>
  <cols>
    <col min="1" max="1" width="6.33203125" style="63" bestFit="1" customWidth="1"/>
    <col min="2" max="2" width="4.33203125" style="63" bestFit="1" customWidth="1"/>
    <col min="3" max="19" width="9" style="46" bestFit="1" customWidth="1"/>
    <col min="20" max="22" width="9.21875" style="46" bestFit="1" customWidth="1"/>
    <col min="23" max="41" width="8.77734375" style="45" customWidth="1"/>
    <col min="42" max="16384" width="8.77734375" style="46"/>
  </cols>
  <sheetData>
    <row r="1" spans="1:38" x14ac:dyDescent="0.2">
      <c r="A1" s="63" t="s">
        <v>0</v>
      </c>
      <c r="B1" s="63" t="s">
        <v>1</v>
      </c>
      <c r="C1" s="41" t="s">
        <v>90</v>
      </c>
      <c r="D1" s="41" t="s">
        <v>91</v>
      </c>
      <c r="E1" s="41" t="s">
        <v>92</v>
      </c>
      <c r="F1" s="41" t="s">
        <v>94</v>
      </c>
      <c r="G1" s="41" t="s">
        <v>95</v>
      </c>
      <c r="H1" s="41" t="s">
        <v>99</v>
      </c>
      <c r="I1" s="41" t="s">
        <v>96</v>
      </c>
      <c r="J1" s="41" t="s">
        <v>97</v>
      </c>
      <c r="K1" s="42" t="s">
        <v>98</v>
      </c>
      <c r="L1" s="42" t="s">
        <v>100</v>
      </c>
      <c r="M1" s="42" t="s">
        <v>101</v>
      </c>
      <c r="N1" s="42" t="s">
        <v>102</v>
      </c>
      <c r="O1" s="42" t="s">
        <v>103</v>
      </c>
      <c r="P1" s="42" t="s">
        <v>104</v>
      </c>
      <c r="Q1" s="42" t="s">
        <v>105</v>
      </c>
      <c r="R1" s="42" t="s">
        <v>106</v>
      </c>
      <c r="S1" s="42" t="s">
        <v>107</v>
      </c>
      <c r="T1" s="42" t="s">
        <v>108</v>
      </c>
      <c r="U1" s="42" t="s">
        <v>109</v>
      </c>
      <c r="V1" s="42" t="s">
        <v>110</v>
      </c>
      <c r="W1" s="43" t="s">
        <v>111</v>
      </c>
      <c r="X1" s="43" t="s">
        <v>112</v>
      </c>
      <c r="Y1" s="43" t="s">
        <v>113</v>
      </c>
      <c r="Z1" s="43" t="s">
        <v>114</v>
      </c>
      <c r="AA1" s="43" t="s">
        <v>115</v>
      </c>
      <c r="AB1" s="43" t="s">
        <v>116</v>
      </c>
      <c r="AC1" s="43" t="s">
        <v>117</v>
      </c>
      <c r="AD1" s="43" t="s">
        <v>118</v>
      </c>
      <c r="AE1" s="43" t="s">
        <v>119</v>
      </c>
      <c r="AF1" s="43" t="s">
        <v>120</v>
      </c>
      <c r="AG1" s="43" t="s">
        <v>109</v>
      </c>
      <c r="AH1" s="43" t="s">
        <v>110</v>
      </c>
      <c r="AI1" s="43" t="s">
        <v>111</v>
      </c>
      <c r="AJ1" s="43" t="s">
        <v>121</v>
      </c>
      <c r="AK1" s="43" t="s">
        <v>122</v>
      </c>
    </row>
    <row r="2" spans="1:38" x14ac:dyDescent="0.2">
      <c r="C2" s="41" t="s">
        <v>369</v>
      </c>
      <c r="D2" s="41" t="s">
        <v>370</v>
      </c>
      <c r="E2" s="41" t="s">
        <v>371</v>
      </c>
      <c r="F2" s="41" t="s">
        <v>372</v>
      </c>
      <c r="G2" s="41" t="s">
        <v>373</v>
      </c>
      <c r="H2" s="41" t="s">
        <v>374</v>
      </c>
      <c r="I2" s="41" t="s">
        <v>375</v>
      </c>
      <c r="J2" s="41" t="s">
        <v>376</v>
      </c>
      <c r="K2" s="42" t="s">
        <v>377</v>
      </c>
      <c r="L2" s="42" t="s">
        <v>378</v>
      </c>
      <c r="M2" s="42" t="s">
        <v>379</v>
      </c>
      <c r="N2" s="42" t="s">
        <v>380</v>
      </c>
      <c r="O2" s="42" t="s">
        <v>381</v>
      </c>
      <c r="P2" s="42" t="s">
        <v>382</v>
      </c>
      <c r="Q2" s="42" t="s">
        <v>383</v>
      </c>
      <c r="R2" s="42" t="s">
        <v>384</v>
      </c>
      <c r="S2" s="42" t="s">
        <v>385</v>
      </c>
      <c r="T2" s="42" t="s">
        <v>386</v>
      </c>
      <c r="U2" s="42" t="s">
        <v>387</v>
      </c>
      <c r="V2" s="42" t="s">
        <v>388</v>
      </c>
      <c r="W2" s="42" t="s">
        <v>389</v>
      </c>
      <c r="X2" s="42" t="s">
        <v>390</v>
      </c>
      <c r="Y2" s="42" t="s">
        <v>391</v>
      </c>
      <c r="Z2" s="42" t="s">
        <v>392</v>
      </c>
      <c r="AA2" s="42" t="s">
        <v>393</v>
      </c>
      <c r="AB2" s="42" t="s">
        <v>394</v>
      </c>
      <c r="AC2" s="42" t="s">
        <v>395</v>
      </c>
      <c r="AD2" s="42" t="s">
        <v>396</v>
      </c>
      <c r="AE2" s="42" t="s">
        <v>397</v>
      </c>
      <c r="AF2" s="42" t="s">
        <v>398</v>
      </c>
      <c r="AG2" s="42" t="s">
        <v>399</v>
      </c>
      <c r="AH2" s="42" t="s">
        <v>400</v>
      </c>
      <c r="AI2" s="42" t="s">
        <v>401</v>
      </c>
      <c r="AJ2" s="42" t="s">
        <v>402</v>
      </c>
      <c r="AK2" s="42" t="s">
        <v>403</v>
      </c>
    </row>
    <row r="3" spans="1:38" x14ac:dyDescent="0.2">
      <c r="A3" s="63">
        <v>1970</v>
      </c>
      <c r="B3" s="63">
        <v>1</v>
      </c>
      <c r="C3" s="44">
        <f>'sec95'!AK3/'sec95'!AK4*C4</f>
        <v>137233.88524349255</v>
      </c>
      <c r="D3" s="44">
        <f t="shared" ref="D3:D46" si="0">C3/C4*D4</f>
        <v>137414.75879849537</v>
      </c>
      <c r="E3" s="44">
        <f t="shared" ref="E3:E46" si="1">D3/D4*E4</f>
        <v>137414.75879849537</v>
      </c>
      <c r="F3" s="44">
        <f t="shared" ref="F3:F46" si="2">E3/E4*F4</f>
        <v>137414.75879849537</v>
      </c>
      <c r="G3" s="44">
        <f t="shared" ref="G3:G45" si="3">F3/F4*G4</f>
        <v>137414.75879849537</v>
      </c>
      <c r="H3" s="44">
        <f t="shared" ref="H3:H45" si="4">G3/G4*H4</f>
        <v>137414.75879849537</v>
      </c>
      <c r="I3" s="44">
        <f t="shared" ref="I3:I45" si="5">H3/H4*I4</f>
        <v>137414.75879849537</v>
      </c>
      <c r="J3" s="44">
        <f t="shared" ref="J3:J45" si="6">I3/I4*J4</f>
        <v>137414.75879849537</v>
      </c>
      <c r="K3" s="44">
        <f t="shared" ref="K3:K45" si="7">J3/J4*K4</f>
        <v>137420.90167394822</v>
      </c>
      <c r="L3" s="44">
        <f t="shared" ref="L3:N45" si="8">K3/K4*L4</f>
        <v>137420.90167394822</v>
      </c>
      <c r="M3" s="44">
        <f t="shared" si="8"/>
        <v>137420.90167394822</v>
      </c>
      <c r="N3" s="44">
        <f t="shared" si="8"/>
        <v>137420.90167394822</v>
      </c>
      <c r="O3" s="44">
        <f t="shared" ref="O3:O45" si="9">N3/N4*O4</f>
        <v>137420.90167394822</v>
      </c>
      <c r="P3" s="44">
        <f t="shared" ref="P3:P45" si="10">O3/O4*P4</f>
        <v>137420.90167394822</v>
      </c>
      <c r="Q3" s="44">
        <f t="shared" ref="Q3:Q45" si="11">P3/P4*Q4</f>
        <v>137420.90167394822</v>
      </c>
      <c r="R3" s="44">
        <f t="shared" ref="R3:R45" si="12">Q3/Q4*R4</f>
        <v>137420.90167394822</v>
      </c>
      <c r="S3" s="44">
        <f t="shared" ref="S3:S45" si="13">R3/R4*S4</f>
        <v>137420.90167394822</v>
      </c>
      <c r="T3" s="48">
        <f t="shared" ref="T3:T66" si="14">T4*S3/S4</f>
        <v>137420.90167394825</v>
      </c>
      <c r="U3" s="48">
        <f t="shared" ref="U3:AK3" si="15">U4*T3/T4</f>
        <v>137420.90167394825</v>
      </c>
      <c r="V3" s="48">
        <f t="shared" si="15"/>
        <v>137420.90167394825</v>
      </c>
      <c r="W3" s="48">
        <f t="shared" si="15"/>
        <v>137420.90167394825</v>
      </c>
      <c r="X3" s="48">
        <f t="shared" si="15"/>
        <v>137420.90167394825</v>
      </c>
      <c r="Y3" s="48">
        <f t="shared" si="15"/>
        <v>137420.90167394825</v>
      </c>
      <c r="Z3" s="48">
        <f t="shared" si="15"/>
        <v>157996.95923839099</v>
      </c>
      <c r="AA3" s="48">
        <f t="shared" si="15"/>
        <v>157996.95923839102</v>
      </c>
      <c r="AB3" s="48">
        <f t="shared" si="15"/>
        <v>157996.95923839105</v>
      </c>
      <c r="AC3" s="48">
        <f t="shared" si="15"/>
        <v>157996.95923839102</v>
      </c>
      <c r="AD3" s="48">
        <f t="shared" si="15"/>
        <v>157996.95923839099</v>
      </c>
      <c r="AE3" s="48">
        <f t="shared" si="15"/>
        <v>157996.95923839099</v>
      </c>
      <c r="AF3" s="48">
        <f t="shared" si="15"/>
        <v>157996.95923839099</v>
      </c>
      <c r="AG3" s="48">
        <f t="shared" si="15"/>
        <v>157996.95923839099</v>
      </c>
      <c r="AH3" s="48">
        <f t="shared" si="15"/>
        <v>157996.95923839099</v>
      </c>
      <c r="AI3" s="48">
        <f t="shared" si="15"/>
        <v>157996.95923839099</v>
      </c>
      <c r="AJ3" s="48">
        <f t="shared" si="15"/>
        <v>157996.95923839099</v>
      </c>
      <c r="AK3" s="48">
        <f t="shared" si="15"/>
        <v>157996.95923839099</v>
      </c>
    </row>
    <row r="4" spans="1:38" x14ac:dyDescent="0.2">
      <c r="A4" s="63">
        <v>1970</v>
      </c>
      <c r="B4" s="63">
        <v>2</v>
      </c>
      <c r="C4" s="44">
        <f>'sec95'!AK4/'sec95'!AK5*C5</f>
        <v>138235.89404052822</v>
      </c>
      <c r="D4" s="44">
        <f t="shared" si="0"/>
        <v>138418.08823797255</v>
      </c>
      <c r="E4" s="44">
        <f t="shared" si="1"/>
        <v>138418.08823797255</v>
      </c>
      <c r="F4" s="44">
        <f t="shared" si="2"/>
        <v>138418.08823797255</v>
      </c>
      <c r="G4" s="44">
        <f t="shared" si="3"/>
        <v>138418.08823797255</v>
      </c>
      <c r="H4" s="44">
        <f t="shared" si="4"/>
        <v>138418.08823797255</v>
      </c>
      <c r="I4" s="44">
        <f t="shared" si="5"/>
        <v>138418.08823797255</v>
      </c>
      <c r="J4" s="44">
        <f t="shared" si="6"/>
        <v>138418.08823797255</v>
      </c>
      <c r="K4" s="44">
        <f t="shared" si="7"/>
        <v>138424.27596543284</v>
      </c>
      <c r="L4" s="44">
        <f t="shared" si="8"/>
        <v>138424.27596543284</v>
      </c>
      <c r="M4" s="44">
        <f t="shared" si="8"/>
        <v>138424.27596543284</v>
      </c>
      <c r="N4" s="44">
        <f t="shared" si="8"/>
        <v>138424.27596543284</v>
      </c>
      <c r="O4" s="44">
        <f t="shared" si="9"/>
        <v>138424.27596543284</v>
      </c>
      <c r="P4" s="44">
        <f t="shared" si="10"/>
        <v>138424.27596543284</v>
      </c>
      <c r="Q4" s="44">
        <f t="shared" si="11"/>
        <v>138424.27596543284</v>
      </c>
      <c r="R4" s="44">
        <f t="shared" si="12"/>
        <v>138424.27596543284</v>
      </c>
      <c r="S4" s="44">
        <f t="shared" si="13"/>
        <v>138424.27596543284</v>
      </c>
      <c r="T4" s="48">
        <f t="shared" si="14"/>
        <v>138424.27596543287</v>
      </c>
      <c r="U4" s="48">
        <f t="shared" ref="U4:U67" si="16">U5*T4/T5</f>
        <v>138424.27596543287</v>
      </c>
      <c r="V4" s="48">
        <f t="shared" ref="V4:V66" si="17">V5*U4/U5</f>
        <v>138424.27596543287</v>
      </c>
      <c r="W4" s="48">
        <f t="shared" ref="W4:W66" si="18">W5*V4/V5</f>
        <v>138424.27596543287</v>
      </c>
      <c r="X4" s="48">
        <f t="shared" ref="X4:X66" si="19">X5*W4/W5</f>
        <v>138424.27596543287</v>
      </c>
      <c r="Y4" s="48">
        <f t="shared" ref="Y4:Y66" si="20">Y5*X4/X5</f>
        <v>138424.27596543287</v>
      </c>
      <c r="Z4" s="48">
        <f t="shared" ref="Z4:Z66" si="21">Z5*Y4/Y5</f>
        <v>159150.56895206234</v>
      </c>
      <c r="AA4" s="48">
        <f t="shared" ref="AA4:AA66" si="22">AA5*Z4/Z5</f>
        <v>159150.56895206237</v>
      </c>
      <c r="AB4" s="48">
        <f t="shared" ref="AB4:AB66" si="23">AB5*AA4/AA5</f>
        <v>159150.5689520624</v>
      </c>
      <c r="AC4" s="48">
        <f t="shared" ref="AC4:AC66" si="24">AC5*AB4/AB5</f>
        <v>159150.56895206237</v>
      </c>
      <c r="AD4" s="48">
        <f t="shared" ref="AD4:AD66" si="25">AD5*AC4/AC5</f>
        <v>159150.56895206234</v>
      </c>
      <c r="AE4" s="48">
        <f t="shared" ref="AE4:AE66" si="26">AE5*AD4/AD5</f>
        <v>159150.56895206234</v>
      </c>
      <c r="AF4" s="48">
        <f t="shared" ref="AF4:AF66" si="27">AF5*AE4/AE5</f>
        <v>159150.56895206234</v>
      </c>
      <c r="AG4" s="48">
        <f t="shared" ref="AG4:AG66" si="28">AG5*AF4/AF5</f>
        <v>159150.56895206234</v>
      </c>
      <c r="AH4" s="48">
        <f t="shared" ref="AH4:AH66" si="29">AH5*AG4/AG5</f>
        <v>159150.56895206234</v>
      </c>
      <c r="AI4" s="48">
        <f t="shared" ref="AI4:AI66" si="30">AI5*AH4/AH5</f>
        <v>159150.56895206234</v>
      </c>
      <c r="AJ4" s="48">
        <f t="shared" ref="AJ4:AJ66" si="31">AJ5*AI4/AI5</f>
        <v>159150.56895206234</v>
      </c>
      <c r="AK4" s="48">
        <f t="shared" ref="AK4:AK66" si="32">AK5*AJ4/AJ5</f>
        <v>159150.56895206234</v>
      </c>
    </row>
    <row r="5" spans="1:38" x14ac:dyDescent="0.2">
      <c r="A5" s="63">
        <v>1970</v>
      </c>
      <c r="B5" s="63">
        <v>3</v>
      </c>
      <c r="C5" s="44">
        <f>'sec95'!AK5/'sec95'!AK6*C6</f>
        <v>141010.06959887323</v>
      </c>
      <c r="D5" s="44">
        <f t="shared" si="0"/>
        <v>141195.9201454368</v>
      </c>
      <c r="E5" s="44">
        <f t="shared" si="1"/>
        <v>141195.9201454368</v>
      </c>
      <c r="F5" s="44">
        <f t="shared" si="2"/>
        <v>141195.9201454368</v>
      </c>
      <c r="G5" s="44">
        <f t="shared" si="3"/>
        <v>141195.9201454368</v>
      </c>
      <c r="H5" s="44">
        <f t="shared" si="4"/>
        <v>141195.9201454368</v>
      </c>
      <c r="I5" s="44">
        <f t="shared" si="5"/>
        <v>141195.9201454368</v>
      </c>
      <c r="J5" s="44">
        <f t="shared" si="6"/>
        <v>141195.9201454368</v>
      </c>
      <c r="K5" s="44">
        <f t="shared" si="7"/>
        <v>141202.2320507917</v>
      </c>
      <c r="L5" s="44">
        <f t="shared" si="8"/>
        <v>141202.2320507917</v>
      </c>
      <c r="M5" s="44">
        <f t="shared" si="8"/>
        <v>141202.2320507917</v>
      </c>
      <c r="N5" s="44">
        <f t="shared" si="8"/>
        <v>141202.2320507917</v>
      </c>
      <c r="O5" s="44">
        <f t="shared" si="9"/>
        <v>141202.2320507917</v>
      </c>
      <c r="P5" s="44">
        <f t="shared" si="10"/>
        <v>141202.2320507917</v>
      </c>
      <c r="Q5" s="44">
        <f t="shared" si="11"/>
        <v>141202.2320507917</v>
      </c>
      <c r="R5" s="44">
        <f t="shared" si="12"/>
        <v>141202.2320507917</v>
      </c>
      <c r="S5" s="44">
        <f t="shared" si="13"/>
        <v>141202.2320507917</v>
      </c>
      <c r="T5" s="48">
        <f t="shared" si="14"/>
        <v>141202.23205079173</v>
      </c>
      <c r="U5" s="48">
        <f t="shared" si="16"/>
        <v>141202.23205079173</v>
      </c>
      <c r="V5" s="48">
        <f t="shared" si="17"/>
        <v>141202.23205079173</v>
      </c>
      <c r="W5" s="48">
        <f t="shared" si="18"/>
        <v>141202.23205079173</v>
      </c>
      <c r="X5" s="48">
        <f t="shared" si="19"/>
        <v>141202.23205079173</v>
      </c>
      <c r="Y5" s="48">
        <f t="shared" si="20"/>
        <v>141202.23205079173</v>
      </c>
      <c r="Z5" s="48">
        <f t="shared" si="21"/>
        <v>162344.46892679733</v>
      </c>
      <c r="AA5" s="48">
        <f t="shared" si="22"/>
        <v>162344.46892679736</v>
      </c>
      <c r="AB5" s="48">
        <f t="shared" si="23"/>
        <v>162344.46892679739</v>
      </c>
      <c r="AC5" s="48">
        <f t="shared" si="24"/>
        <v>162344.46892679736</v>
      </c>
      <c r="AD5" s="48">
        <f t="shared" si="25"/>
        <v>162344.46892679733</v>
      </c>
      <c r="AE5" s="48">
        <f t="shared" si="26"/>
        <v>162344.46892679733</v>
      </c>
      <c r="AF5" s="48">
        <f t="shared" si="27"/>
        <v>162344.46892679733</v>
      </c>
      <c r="AG5" s="48">
        <f t="shared" si="28"/>
        <v>162344.46892679733</v>
      </c>
      <c r="AH5" s="48">
        <f t="shared" si="29"/>
        <v>162344.46892679733</v>
      </c>
      <c r="AI5" s="48">
        <f t="shared" si="30"/>
        <v>162344.46892679733</v>
      </c>
      <c r="AJ5" s="48">
        <f t="shared" si="31"/>
        <v>162344.46892679733</v>
      </c>
      <c r="AK5" s="48">
        <f t="shared" si="32"/>
        <v>162344.46892679733</v>
      </c>
      <c r="AL5" s="46"/>
    </row>
    <row r="6" spans="1:38" x14ac:dyDescent="0.2">
      <c r="A6" s="63">
        <v>1970</v>
      </c>
      <c r="B6" s="63">
        <v>4</v>
      </c>
      <c r="C6" s="44">
        <f>'sec95'!AK6/'sec95'!AK7*C7</f>
        <v>141167.31496564744</v>
      </c>
      <c r="D6" s="44">
        <f t="shared" si="0"/>
        <v>141353.37276079576</v>
      </c>
      <c r="E6" s="44">
        <f t="shared" si="1"/>
        <v>141353.37276079576</v>
      </c>
      <c r="F6" s="44">
        <f t="shared" si="2"/>
        <v>141353.37276079576</v>
      </c>
      <c r="G6" s="44">
        <f t="shared" si="3"/>
        <v>141353.37276079576</v>
      </c>
      <c r="H6" s="44">
        <f t="shared" si="4"/>
        <v>141353.37276079576</v>
      </c>
      <c r="I6" s="44">
        <f t="shared" si="5"/>
        <v>141353.37276079576</v>
      </c>
      <c r="J6" s="44">
        <f t="shared" si="6"/>
        <v>141353.37276079576</v>
      </c>
      <c r="K6" s="44">
        <f t="shared" si="7"/>
        <v>141359.69170478184</v>
      </c>
      <c r="L6" s="44">
        <f t="shared" si="8"/>
        <v>141359.69170478184</v>
      </c>
      <c r="M6" s="44">
        <f t="shared" si="8"/>
        <v>141359.69170478184</v>
      </c>
      <c r="N6" s="44">
        <f t="shared" si="8"/>
        <v>141359.69170478184</v>
      </c>
      <c r="O6" s="44">
        <f t="shared" si="9"/>
        <v>141359.69170478184</v>
      </c>
      <c r="P6" s="44">
        <f t="shared" si="10"/>
        <v>141359.69170478184</v>
      </c>
      <c r="Q6" s="44">
        <f t="shared" si="11"/>
        <v>141359.69170478184</v>
      </c>
      <c r="R6" s="44">
        <f t="shared" si="12"/>
        <v>141359.69170478184</v>
      </c>
      <c r="S6" s="44">
        <f t="shared" si="13"/>
        <v>141359.69170478184</v>
      </c>
      <c r="T6" s="48">
        <f t="shared" si="14"/>
        <v>141359.69170478187</v>
      </c>
      <c r="U6" s="48">
        <f t="shared" si="16"/>
        <v>141359.69170478187</v>
      </c>
      <c r="V6" s="48">
        <f t="shared" si="17"/>
        <v>141359.69170478187</v>
      </c>
      <c r="W6" s="48">
        <f t="shared" si="18"/>
        <v>141359.69170478187</v>
      </c>
      <c r="X6" s="48">
        <f t="shared" si="19"/>
        <v>141359.69170478187</v>
      </c>
      <c r="Y6" s="48">
        <f t="shared" si="20"/>
        <v>141359.69170478187</v>
      </c>
      <c r="Z6" s="48">
        <f t="shared" si="21"/>
        <v>162525.50504452124</v>
      </c>
      <c r="AA6" s="48">
        <f t="shared" si="22"/>
        <v>162525.50504452127</v>
      </c>
      <c r="AB6" s="48">
        <f t="shared" si="23"/>
        <v>162525.5050445213</v>
      </c>
      <c r="AC6" s="48">
        <f t="shared" si="24"/>
        <v>162525.50504452127</v>
      </c>
      <c r="AD6" s="48">
        <f t="shared" si="25"/>
        <v>162525.50504452124</v>
      </c>
      <c r="AE6" s="48">
        <f t="shared" si="26"/>
        <v>162525.50504452124</v>
      </c>
      <c r="AF6" s="48">
        <f t="shared" si="27"/>
        <v>162525.50504452124</v>
      </c>
      <c r="AG6" s="48">
        <f t="shared" si="28"/>
        <v>162525.50504452124</v>
      </c>
      <c r="AH6" s="48">
        <f t="shared" si="29"/>
        <v>162525.50504452124</v>
      </c>
      <c r="AI6" s="48">
        <f t="shared" si="30"/>
        <v>162525.50504452124</v>
      </c>
      <c r="AJ6" s="48">
        <f t="shared" si="31"/>
        <v>162525.50504452124</v>
      </c>
      <c r="AK6" s="48">
        <f t="shared" si="32"/>
        <v>162525.50504452124</v>
      </c>
      <c r="AL6" s="46"/>
    </row>
    <row r="7" spans="1:38" x14ac:dyDescent="0.2">
      <c r="A7" s="63">
        <v>1971</v>
      </c>
      <c r="B7" s="63">
        <v>1</v>
      </c>
      <c r="C7" s="44">
        <f>'sec95'!AK7/'sec95'!AK8*C8</f>
        <v>140429.2947405685</v>
      </c>
      <c r="D7" s="44">
        <f t="shared" si="0"/>
        <v>140614.37982885554</v>
      </c>
      <c r="E7" s="44">
        <f t="shared" si="1"/>
        <v>140614.37982885554</v>
      </c>
      <c r="F7" s="44">
        <f t="shared" si="2"/>
        <v>140614.37982885554</v>
      </c>
      <c r="G7" s="44">
        <f t="shared" si="3"/>
        <v>140614.37982885554</v>
      </c>
      <c r="H7" s="44">
        <f t="shared" si="4"/>
        <v>140614.37982885554</v>
      </c>
      <c r="I7" s="44">
        <f t="shared" si="5"/>
        <v>140614.37982885554</v>
      </c>
      <c r="J7" s="44">
        <f t="shared" si="6"/>
        <v>140614.37982885554</v>
      </c>
      <c r="K7" s="44">
        <f t="shared" si="7"/>
        <v>140620.66573751427</v>
      </c>
      <c r="L7" s="44">
        <f t="shared" si="8"/>
        <v>140620.66573751427</v>
      </c>
      <c r="M7" s="44">
        <f t="shared" si="8"/>
        <v>140620.66573751427</v>
      </c>
      <c r="N7" s="44">
        <f t="shared" si="8"/>
        <v>140620.66573751427</v>
      </c>
      <c r="O7" s="44">
        <f t="shared" si="9"/>
        <v>140620.66573751427</v>
      </c>
      <c r="P7" s="44">
        <f t="shared" si="10"/>
        <v>140620.66573751427</v>
      </c>
      <c r="Q7" s="44">
        <f t="shared" si="11"/>
        <v>140620.66573751427</v>
      </c>
      <c r="R7" s="44">
        <f t="shared" si="12"/>
        <v>140620.66573751427</v>
      </c>
      <c r="S7" s="44">
        <f t="shared" si="13"/>
        <v>140620.66573751427</v>
      </c>
      <c r="T7" s="48">
        <f t="shared" si="14"/>
        <v>140620.6657375143</v>
      </c>
      <c r="U7" s="48">
        <f t="shared" si="16"/>
        <v>140620.6657375143</v>
      </c>
      <c r="V7" s="48">
        <f t="shared" si="17"/>
        <v>140620.6657375143</v>
      </c>
      <c r="W7" s="48">
        <f t="shared" si="18"/>
        <v>140620.6657375143</v>
      </c>
      <c r="X7" s="48">
        <f t="shared" si="19"/>
        <v>140620.6657375143</v>
      </c>
      <c r="Y7" s="48">
        <f t="shared" si="20"/>
        <v>140620.6657375143</v>
      </c>
      <c r="Z7" s="48">
        <f t="shared" si="21"/>
        <v>161675.82457958345</v>
      </c>
      <c r="AA7" s="48">
        <f t="shared" si="22"/>
        <v>161675.82457958348</v>
      </c>
      <c r="AB7" s="48">
        <f t="shared" si="23"/>
        <v>161675.82457958351</v>
      </c>
      <c r="AC7" s="48">
        <f t="shared" si="24"/>
        <v>161675.82457958348</v>
      </c>
      <c r="AD7" s="48">
        <f t="shared" si="25"/>
        <v>161675.82457958345</v>
      </c>
      <c r="AE7" s="48">
        <f t="shared" si="26"/>
        <v>161675.82457958345</v>
      </c>
      <c r="AF7" s="48">
        <f t="shared" si="27"/>
        <v>161675.82457958345</v>
      </c>
      <c r="AG7" s="48">
        <f t="shared" si="28"/>
        <v>161675.82457958345</v>
      </c>
      <c r="AH7" s="48">
        <f t="shared" si="29"/>
        <v>161675.82457958345</v>
      </c>
      <c r="AI7" s="48">
        <f t="shared" si="30"/>
        <v>161675.82457958345</v>
      </c>
      <c r="AJ7" s="48">
        <f t="shared" si="31"/>
        <v>161675.82457958345</v>
      </c>
      <c r="AK7" s="48">
        <f t="shared" si="32"/>
        <v>161675.82457958345</v>
      </c>
      <c r="AL7" s="46"/>
    </row>
    <row r="8" spans="1:38" x14ac:dyDescent="0.2">
      <c r="A8" s="63">
        <v>1971</v>
      </c>
      <c r="B8" s="63">
        <v>2</v>
      </c>
      <c r="C8" s="44">
        <f>'sec95'!AK8/'sec95'!AK9*C9</f>
        <v>141021.54736287135</v>
      </c>
      <c r="D8" s="44">
        <f t="shared" si="0"/>
        <v>141207.41303706882</v>
      </c>
      <c r="E8" s="44">
        <f t="shared" si="1"/>
        <v>141207.41303706882</v>
      </c>
      <c r="F8" s="44">
        <f t="shared" si="2"/>
        <v>141207.41303706882</v>
      </c>
      <c r="G8" s="44">
        <f t="shared" si="3"/>
        <v>141207.41303706882</v>
      </c>
      <c r="H8" s="44">
        <f t="shared" si="4"/>
        <v>141207.41303706882</v>
      </c>
      <c r="I8" s="44">
        <f t="shared" si="5"/>
        <v>141207.41303706882</v>
      </c>
      <c r="J8" s="44">
        <f t="shared" si="6"/>
        <v>141207.41303706882</v>
      </c>
      <c r="K8" s="44">
        <f t="shared" si="7"/>
        <v>141213.72545619245</v>
      </c>
      <c r="L8" s="44">
        <f t="shared" si="8"/>
        <v>141213.72545619245</v>
      </c>
      <c r="M8" s="44">
        <f t="shared" si="8"/>
        <v>141213.72545619245</v>
      </c>
      <c r="N8" s="44">
        <f t="shared" si="8"/>
        <v>141213.72545619245</v>
      </c>
      <c r="O8" s="44">
        <f t="shared" si="9"/>
        <v>141213.72545619245</v>
      </c>
      <c r="P8" s="44">
        <f t="shared" si="10"/>
        <v>141213.72545619245</v>
      </c>
      <c r="Q8" s="44">
        <f t="shared" si="11"/>
        <v>141213.72545619245</v>
      </c>
      <c r="R8" s="44">
        <f t="shared" si="12"/>
        <v>141213.72545619245</v>
      </c>
      <c r="S8" s="44">
        <f t="shared" si="13"/>
        <v>141213.72545619245</v>
      </c>
      <c r="T8" s="48">
        <f t="shared" si="14"/>
        <v>141213.72545619248</v>
      </c>
      <c r="U8" s="48">
        <f t="shared" si="16"/>
        <v>141213.72545619248</v>
      </c>
      <c r="V8" s="48">
        <f t="shared" si="17"/>
        <v>141213.72545619248</v>
      </c>
      <c r="W8" s="48">
        <f t="shared" si="18"/>
        <v>141213.72545619248</v>
      </c>
      <c r="X8" s="48">
        <f t="shared" si="19"/>
        <v>141213.72545619248</v>
      </c>
      <c r="Y8" s="48">
        <f t="shared" si="20"/>
        <v>141213.72545619248</v>
      </c>
      <c r="Z8" s="48">
        <f t="shared" si="21"/>
        <v>162357.68324195963</v>
      </c>
      <c r="AA8" s="48">
        <f t="shared" si="22"/>
        <v>162357.68324195966</v>
      </c>
      <c r="AB8" s="48">
        <f t="shared" si="23"/>
        <v>162357.68324195969</v>
      </c>
      <c r="AC8" s="48">
        <f t="shared" si="24"/>
        <v>162357.68324195966</v>
      </c>
      <c r="AD8" s="48">
        <f t="shared" si="25"/>
        <v>162357.68324195963</v>
      </c>
      <c r="AE8" s="48">
        <f t="shared" si="26"/>
        <v>162357.68324195963</v>
      </c>
      <c r="AF8" s="48">
        <f t="shared" si="27"/>
        <v>162357.68324195963</v>
      </c>
      <c r="AG8" s="48">
        <f t="shared" si="28"/>
        <v>162357.68324195963</v>
      </c>
      <c r="AH8" s="48">
        <f t="shared" si="29"/>
        <v>162357.68324195963</v>
      </c>
      <c r="AI8" s="48">
        <f t="shared" si="30"/>
        <v>162357.68324195963</v>
      </c>
      <c r="AJ8" s="48">
        <f t="shared" si="31"/>
        <v>162357.68324195963</v>
      </c>
      <c r="AK8" s="48">
        <f t="shared" si="32"/>
        <v>162357.68324195963</v>
      </c>
      <c r="AL8" s="46"/>
    </row>
    <row r="9" spans="1:38" x14ac:dyDescent="0.2">
      <c r="A9" s="63">
        <v>1971</v>
      </c>
      <c r="B9" s="63">
        <v>3</v>
      </c>
      <c r="C9" s="44">
        <f>'sec95'!AK9/'sec95'!AK10*C10</f>
        <v>143087.54488253253</v>
      </c>
      <c r="D9" s="44">
        <f t="shared" si="0"/>
        <v>143276.13353083617</v>
      </c>
      <c r="E9" s="44">
        <f t="shared" si="1"/>
        <v>143276.13353083617</v>
      </c>
      <c r="F9" s="44">
        <f t="shared" si="2"/>
        <v>143276.13353083617</v>
      </c>
      <c r="G9" s="44">
        <f t="shared" si="3"/>
        <v>143276.13353083617</v>
      </c>
      <c r="H9" s="44">
        <f t="shared" si="4"/>
        <v>143276.13353083617</v>
      </c>
      <c r="I9" s="44">
        <f t="shared" si="5"/>
        <v>143276.13353083617</v>
      </c>
      <c r="J9" s="44">
        <f t="shared" si="6"/>
        <v>143276.13353083617</v>
      </c>
      <c r="K9" s="44">
        <f t="shared" si="7"/>
        <v>143282.53842832567</v>
      </c>
      <c r="L9" s="44">
        <f t="shared" si="8"/>
        <v>143282.53842832567</v>
      </c>
      <c r="M9" s="44">
        <f t="shared" si="8"/>
        <v>143282.53842832567</v>
      </c>
      <c r="N9" s="44">
        <f t="shared" si="8"/>
        <v>143282.53842832567</v>
      </c>
      <c r="O9" s="44">
        <f t="shared" si="9"/>
        <v>143282.53842832567</v>
      </c>
      <c r="P9" s="44">
        <f t="shared" si="10"/>
        <v>143282.53842832567</v>
      </c>
      <c r="Q9" s="44">
        <f t="shared" si="11"/>
        <v>143282.53842832567</v>
      </c>
      <c r="R9" s="44">
        <f t="shared" si="12"/>
        <v>143282.53842832567</v>
      </c>
      <c r="S9" s="44">
        <f t="shared" si="13"/>
        <v>143282.53842832567</v>
      </c>
      <c r="T9" s="48">
        <f t="shared" si="14"/>
        <v>143282.5384283257</v>
      </c>
      <c r="U9" s="48">
        <f t="shared" si="16"/>
        <v>143282.5384283257</v>
      </c>
      <c r="V9" s="48">
        <f t="shared" si="17"/>
        <v>143282.5384283257</v>
      </c>
      <c r="W9" s="48">
        <f t="shared" si="18"/>
        <v>143282.5384283257</v>
      </c>
      <c r="X9" s="48">
        <f t="shared" si="19"/>
        <v>143282.5384283257</v>
      </c>
      <c r="Y9" s="48">
        <f t="shared" si="20"/>
        <v>143282.5384283257</v>
      </c>
      <c r="Z9" s="48">
        <f t="shared" si="21"/>
        <v>164736.25997117892</v>
      </c>
      <c r="AA9" s="48">
        <f t="shared" si="22"/>
        <v>164736.25997117895</v>
      </c>
      <c r="AB9" s="48">
        <f t="shared" si="23"/>
        <v>164736.25997117898</v>
      </c>
      <c r="AC9" s="48">
        <f t="shared" si="24"/>
        <v>164736.25997117895</v>
      </c>
      <c r="AD9" s="48">
        <f t="shared" si="25"/>
        <v>164736.25997117892</v>
      </c>
      <c r="AE9" s="48">
        <f t="shared" si="26"/>
        <v>164736.25997117892</v>
      </c>
      <c r="AF9" s="48">
        <f t="shared" si="27"/>
        <v>164736.25997117892</v>
      </c>
      <c r="AG9" s="48">
        <f t="shared" si="28"/>
        <v>164736.25997117892</v>
      </c>
      <c r="AH9" s="48">
        <f t="shared" si="29"/>
        <v>164736.25997117892</v>
      </c>
      <c r="AI9" s="48">
        <f t="shared" si="30"/>
        <v>164736.25997117892</v>
      </c>
      <c r="AJ9" s="48">
        <f t="shared" si="31"/>
        <v>164736.25997117892</v>
      </c>
      <c r="AK9" s="48">
        <f t="shared" si="32"/>
        <v>164736.25997117892</v>
      </c>
      <c r="AL9" s="46"/>
    </row>
    <row r="10" spans="1:38" x14ac:dyDescent="0.2">
      <c r="A10" s="63">
        <v>1971</v>
      </c>
      <c r="B10" s="63">
        <v>4</v>
      </c>
      <c r="C10" s="44">
        <f>'sec95'!AK10/'sec95'!AK11*C11</f>
        <v>143894.43169160018</v>
      </c>
      <c r="D10" s="44">
        <f t="shared" si="0"/>
        <v>144084.08381256863</v>
      </c>
      <c r="E10" s="44">
        <f t="shared" si="1"/>
        <v>144084.08381256863</v>
      </c>
      <c r="F10" s="44">
        <f t="shared" si="2"/>
        <v>144084.08381256863</v>
      </c>
      <c r="G10" s="44">
        <f t="shared" si="3"/>
        <v>144084.08381256863</v>
      </c>
      <c r="H10" s="44">
        <f t="shared" si="4"/>
        <v>144084.08381256863</v>
      </c>
      <c r="I10" s="44">
        <f t="shared" si="5"/>
        <v>144084.08381256863</v>
      </c>
      <c r="J10" s="44">
        <f t="shared" si="6"/>
        <v>144084.08381256863</v>
      </c>
      <c r="K10" s="44">
        <f t="shared" si="7"/>
        <v>144090.52482799767</v>
      </c>
      <c r="L10" s="44">
        <f t="shared" si="8"/>
        <v>144090.52482799767</v>
      </c>
      <c r="M10" s="44">
        <f t="shared" si="8"/>
        <v>144090.52482799767</v>
      </c>
      <c r="N10" s="44">
        <f t="shared" si="8"/>
        <v>144090.52482799767</v>
      </c>
      <c r="O10" s="44">
        <f t="shared" si="9"/>
        <v>144090.52482799767</v>
      </c>
      <c r="P10" s="44">
        <f t="shared" si="10"/>
        <v>144090.52482799767</v>
      </c>
      <c r="Q10" s="44">
        <f t="shared" si="11"/>
        <v>144090.52482799767</v>
      </c>
      <c r="R10" s="44">
        <f t="shared" si="12"/>
        <v>144090.52482799767</v>
      </c>
      <c r="S10" s="44">
        <f t="shared" si="13"/>
        <v>144090.52482799767</v>
      </c>
      <c r="T10" s="48">
        <f t="shared" si="14"/>
        <v>144090.52482799769</v>
      </c>
      <c r="U10" s="48">
        <f t="shared" si="16"/>
        <v>144090.52482799769</v>
      </c>
      <c r="V10" s="48">
        <f t="shared" si="17"/>
        <v>144090.52482799769</v>
      </c>
      <c r="W10" s="48">
        <f t="shared" si="18"/>
        <v>144090.52482799769</v>
      </c>
      <c r="X10" s="48">
        <f t="shared" si="19"/>
        <v>144090.52482799769</v>
      </c>
      <c r="Y10" s="48">
        <f t="shared" si="20"/>
        <v>144090.52482799769</v>
      </c>
      <c r="Z10" s="48">
        <f t="shared" si="21"/>
        <v>165665.22632709064</v>
      </c>
      <c r="AA10" s="48">
        <f t="shared" si="22"/>
        <v>165665.22632709067</v>
      </c>
      <c r="AB10" s="48">
        <f t="shared" si="23"/>
        <v>165665.2263270907</v>
      </c>
      <c r="AC10" s="48">
        <f t="shared" si="24"/>
        <v>165665.22632709067</v>
      </c>
      <c r="AD10" s="48">
        <f t="shared" si="25"/>
        <v>165665.22632709064</v>
      </c>
      <c r="AE10" s="48">
        <f t="shared" si="26"/>
        <v>165665.22632709064</v>
      </c>
      <c r="AF10" s="48">
        <f t="shared" si="27"/>
        <v>165665.22632709064</v>
      </c>
      <c r="AG10" s="48">
        <f t="shared" si="28"/>
        <v>165665.22632709064</v>
      </c>
      <c r="AH10" s="48">
        <f t="shared" si="29"/>
        <v>165665.22632709064</v>
      </c>
      <c r="AI10" s="48">
        <f t="shared" si="30"/>
        <v>165665.22632709064</v>
      </c>
      <c r="AJ10" s="48">
        <f t="shared" si="31"/>
        <v>165665.22632709064</v>
      </c>
      <c r="AK10" s="48">
        <f t="shared" si="32"/>
        <v>165665.22632709064</v>
      </c>
      <c r="AL10" s="46"/>
    </row>
    <row r="11" spans="1:38" x14ac:dyDescent="0.2">
      <c r="A11" s="63">
        <v>1972</v>
      </c>
      <c r="B11" s="63">
        <v>1</v>
      </c>
      <c r="C11" s="44">
        <f>'sec95'!AK11/'sec95'!AK12*C12</f>
        <v>145485.24978173929</v>
      </c>
      <c r="D11" s="44">
        <f t="shared" si="0"/>
        <v>145676.99859276949</v>
      </c>
      <c r="E11" s="44">
        <f t="shared" si="1"/>
        <v>145676.99859276949</v>
      </c>
      <c r="F11" s="44">
        <f t="shared" si="2"/>
        <v>145676.99859276949</v>
      </c>
      <c r="G11" s="44">
        <f t="shared" si="3"/>
        <v>145676.99859276949</v>
      </c>
      <c r="H11" s="44">
        <f t="shared" si="4"/>
        <v>145676.99859276949</v>
      </c>
      <c r="I11" s="44">
        <f t="shared" si="5"/>
        <v>145676.99859276949</v>
      </c>
      <c r="J11" s="44">
        <f t="shared" si="6"/>
        <v>145676.99859276949</v>
      </c>
      <c r="K11" s="44">
        <f t="shared" si="7"/>
        <v>145683.51081654025</v>
      </c>
      <c r="L11" s="44">
        <f t="shared" si="8"/>
        <v>145683.51081654025</v>
      </c>
      <c r="M11" s="44">
        <f t="shared" si="8"/>
        <v>145683.51081654025</v>
      </c>
      <c r="N11" s="44">
        <f t="shared" si="8"/>
        <v>145683.51081654025</v>
      </c>
      <c r="O11" s="44">
        <f t="shared" si="9"/>
        <v>145683.51081654025</v>
      </c>
      <c r="P11" s="44">
        <f t="shared" si="10"/>
        <v>145683.51081654025</v>
      </c>
      <c r="Q11" s="44">
        <f t="shared" si="11"/>
        <v>145683.51081654025</v>
      </c>
      <c r="R11" s="44">
        <f t="shared" si="12"/>
        <v>145683.51081654025</v>
      </c>
      <c r="S11" s="44">
        <f t="shared" si="13"/>
        <v>145683.51081654025</v>
      </c>
      <c r="T11" s="48">
        <f t="shared" si="14"/>
        <v>145683.51081654028</v>
      </c>
      <c r="U11" s="48">
        <f t="shared" si="16"/>
        <v>145683.51081654028</v>
      </c>
      <c r="V11" s="48">
        <f t="shared" si="17"/>
        <v>145683.51081654028</v>
      </c>
      <c r="W11" s="48">
        <f t="shared" si="18"/>
        <v>145683.51081654028</v>
      </c>
      <c r="X11" s="48">
        <f t="shared" si="19"/>
        <v>145683.51081654028</v>
      </c>
      <c r="Y11" s="48">
        <f t="shared" si="20"/>
        <v>145683.51081654028</v>
      </c>
      <c r="Z11" s="48">
        <f t="shared" si="21"/>
        <v>167496.7304085895</v>
      </c>
      <c r="AA11" s="48">
        <f t="shared" si="22"/>
        <v>167496.73040858953</v>
      </c>
      <c r="AB11" s="48">
        <f t="shared" si="23"/>
        <v>167496.73040858956</v>
      </c>
      <c r="AC11" s="48">
        <f t="shared" si="24"/>
        <v>167496.73040858953</v>
      </c>
      <c r="AD11" s="48">
        <f t="shared" si="25"/>
        <v>167496.7304085895</v>
      </c>
      <c r="AE11" s="48">
        <f t="shared" si="26"/>
        <v>167496.7304085895</v>
      </c>
      <c r="AF11" s="48">
        <f t="shared" si="27"/>
        <v>167496.7304085895</v>
      </c>
      <c r="AG11" s="48">
        <f t="shared" si="28"/>
        <v>167496.7304085895</v>
      </c>
      <c r="AH11" s="48">
        <f t="shared" si="29"/>
        <v>167496.7304085895</v>
      </c>
      <c r="AI11" s="48">
        <f t="shared" si="30"/>
        <v>167496.7304085895</v>
      </c>
      <c r="AJ11" s="48">
        <f t="shared" si="31"/>
        <v>167496.7304085895</v>
      </c>
      <c r="AK11" s="48">
        <f t="shared" si="32"/>
        <v>167496.7304085895</v>
      </c>
    </row>
    <row r="12" spans="1:38" x14ac:dyDescent="0.2">
      <c r="A12" s="63">
        <v>1972</v>
      </c>
      <c r="B12" s="63">
        <v>2</v>
      </c>
      <c r="C12" s="44">
        <f>'sec95'!AK12/'sec95'!AK13*C13</f>
        <v>145418.6787505502</v>
      </c>
      <c r="D12" s="44">
        <f t="shared" si="0"/>
        <v>145610.33982130367</v>
      </c>
      <c r="E12" s="44">
        <f t="shared" si="1"/>
        <v>145610.33982130367</v>
      </c>
      <c r="F12" s="44">
        <f t="shared" si="2"/>
        <v>145610.33982130367</v>
      </c>
      <c r="G12" s="44">
        <f t="shared" si="3"/>
        <v>145610.33982130367</v>
      </c>
      <c r="H12" s="44">
        <f t="shared" si="4"/>
        <v>145610.33982130367</v>
      </c>
      <c r="I12" s="44">
        <f t="shared" si="5"/>
        <v>145610.33982130367</v>
      </c>
      <c r="J12" s="44">
        <f t="shared" si="6"/>
        <v>145610.33982130367</v>
      </c>
      <c r="K12" s="44">
        <f t="shared" si="7"/>
        <v>145616.84906521597</v>
      </c>
      <c r="L12" s="44">
        <f t="shared" si="8"/>
        <v>145616.84906521597</v>
      </c>
      <c r="M12" s="44">
        <f t="shared" si="8"/>
        <v>145616.84906521597</v>
      </c>
      <c r="N12" s="44">
        <f t="shared" si="8"/>
        <v>145616.84906521597</v>
      </c>
      <c r="O12" s="44">
        <f t="shared" si="9"/>
        <v>145616.84906521597</v>
      </c>
      <c r="P12" s="44">
        <f t="shared" si="10"/>
        <v>145616.84906521597</v>
      </c>
      <c r="Q12" s="44">
        <f t="shared" si="11"/>
        <v>145616.84906521597</v>
      </c>
      <c r="R12" s="44">
        <f t="shared" si="12"/>
        <v>145616.84906521597</v>
      </c>
      <c r="S12" s="44">
        <f t="shared" si="13"/>
        <v>145616.84906521597</v>
      </c>
      <c r="T12" s="48">
        <f t="shared" si="14"/>
        <v>145616.849065216</v>
      </c>
      <c r="U12" s="48">
        <f t="shared" si="16"/>
        <v>145616.849065216</v>
      </c>
      <c r="V12" s="48">
        <f t="shared" si="17"/>
        <v>145616.849065216</v>
      </c>
      <c r="W12" s="48">
        <f t="shared" si="18"/>
        <v>145616.849065216</v>
      </c>
      <c r="X12" s="48">
        <f t="shared" si="19"/>
        <v>145616.849065216</v>
      </c>
      <c r="Y12" s="48">
        <f t="shared" si="20"/>
        <v>145616.849065216</v>
      </c>
      <c r="Z12" s="48">
        <f t="shared" si="21"/>
        <v>167420.08738064801</v>
      </c>
      <c r="AA12" s="48">
        <f t="shared" si="22"/>
        <v>167420.08738064804</v>
      </c>
      <c r="AB12" s="48">
        <f t="shared" si="23"/>
        <v>167420.08738064807</v>
      </c>
      <c r="AC12" s="48">
        <f t="shared" si="24"/>
        <v>167420.08738064804</v>
      </c>
      <c r="AD12" s="48">
        <f t="shared" si="25"/>
        <v>167420.08738064801</v>
      </c>
      <c r="AE12" s="48">
        <f t="shared" si="26"/>
        <v>167420.08738064801</v>
      </c>
      <c r="AF12" s="48">
        <f t="shared" si="27"/>
        <v>167420.08738064801</v>
      </c>
      <c r="AG12" s="48">
        <f t="shared" si="28"/>
        <v>167420.08738064801</v>
      </c>
      <c r="AH12" s="48">
        <f t="shared" si="29"/>
        <v>167420.08738064801</v>
      </c>
      <c r="AI12" s="48">
        <f t="shared" si="30"/>
        <v>167420.08738064801</v>
      </c>
      <c r="AJ12" s="48">
        <f t="shared" si="31"/>
        <v>167420.08738064801</v>
      </c>
      <c r="AK12" s="48">
        <f t="shared" si="32"/>
        <v>167420.08738064801</v>
      </c>
    </row>
    <row r="13" spans="1:38" x14ac:dyDescent="0.2">
      <c r="A13" s="63">
        <v>1972</v>
      </c>
      <c r="B13" s="63">
        <v>3</v>
      </c>
      <c r="C13" s="44">
        <f>'sec95'!AK13/'sec95'!AK14*C14</f>
        <v>147379.08084142869</v>
      </c>
      <c r="D13" s="44">
        <f t="shared" si="0"/>
        <v>147573.32571205625</v>
      </c>
      <c r="E13" s="44">
        <f t="shared" si="1"/>
        <v>147573.32571205625</v>
      </c>
      <c r="F13" s="44">
        <f t="shared" si="2"/>
        <v>147573.32571205625</v>
      </c>
      <c r="G13" s="44">
        <f t="shared" si="3"/>
        <v>147573.32571205625</v>
      </c>
      <c r="H13" s="44">
        <f t="shared" si="4"/>
        <v>147573.32571205625</v>
      </c>
      <c r="I13" s="44">
        <f t="shared" si="5"/>
        <v>147573.32571205625</v>
      </c>
      <c r="J13" s="44">
        <f t="shared" si="6"/>
        <v>147573.32571205625</v>
      </c>
      <c r="K13" s="44">
        <f t="shared" si="7"/>
        <v>147579.92270766239</v>
      </c>
      <c r="L13" s="44">
        <f t="shared" si="8"/>
        <v>147579.92270766239</v>
      </c>
      <c r="M13" s="44">
        <f t="shared" si="8"/>
        <v>147579.92270766239</v>
      </c>
      <c r="N13" s="44">
        <f t="shared" si="8"/>
        <v>147579.92270766239</v>
      </c>
      <c r="O13" s="44">
        <f t="shared" si="9"/>
        <v>147579.92270766239</v>
      </c>
      <c r="P13" s="44">
        <f t="shared" si="10"/>
        <v>147579.92270766239</v>
      </c>
      <c r="Q13" s="44">
        <f t="shared" si="11"/>
        <v>147579.92270766239</v>
      </c>
      <c r="R13" s="44">
        <f t="shared" si="12"/>
        <v>147579.92270766239</v>
      </c>
      <c r="S13" s="44">
        <f t="shared" si="13"/>
        <v>147579.92270766239</v>
      </c>
      <c r="T13" s="48">
        <f t="shared" si="14"/>
        <v>147579.92270766242</v>
      </c>
      <c r="U13" s="48">
        <f t="shared" si="16"/>
        <v>147579.92270766242</v>
      </c>
      <c r="V13" s="48">
        <f t="shared" si="17"/>
        <v>147579.92270766242</v>
      </c>
      <c r="W13" s="48">
        <f t="shared" si="18"/>
        <v>147579.92270766242</v>
      </c>
      <c r="X13" s="48">
        <f t="shared" si="19"/>
        <v>147579.92270766242</v>
      </c>
      <c r="Y13" s="48">
        <f t="shared" si="20"/>
        <v>147579.92270766242</v>
      </c>
      <c r="Z13" s="48">
        <f t="shared" si="21"/>
        <v>169677.09241037391</v>
      </c>
      <c r="AA13" s="48">
        <f t="shared" si="22"/>
        <v>169677.09241037394</v>
      </c>
      <c r="AB13" s="48">
        <f t="shared" si="23"/>
        <v>169677.09241037397</v>
      </c>
      <c r="AC13" s="48">
        <f t="shared" si="24"/>
        <v>169677.09241037394</v>
      </c>
      <c r="AD13" s="48">
        <f t="shared" si="25"/>
        <v>169677.09241037391</v>
      </c>
      <c r="AE13" s="48">
        <f t="shared" si="26"/>
        <v>169677.09241037391</v>
      </c>
      <c r="AF13" s="48">
        <f t="shared" si="27"/>
        <v>169677.09241037391</v>
      </c>
      <c r="AG13" s="48">
        <f t="shared" si="28"/>
        <v>169677.09241037391</v>
      </c>
      <c r="AH13" s="48">
        <f t="shared" si="29"/>
        <v>169677.09241037391</v>
      </c>
      <c r="AI13" s="48">
        <f t="shared" si="30"/>
        <v>169677.09241037391</v>
      </c>
      <c r="AJ13" s="48">
        <f t="shared" si="31"/>
        <v>169677.09241037391</v>
      </c>
      <c r="AK13" s="48">
        <f t="shared" si="32"/>
        <v>169677.09241037391</v>
      </c>
    </row>
    <row r="14" spans="1:38" x14ac:dyDescent="0.2">
      <c r="A14" s="63">
        <v>1972</v>
      </c>
      <c r="B14" s="63">
        <v>4</v>
      </c>
      <c r="C14" s="44">
        <f>'sec95'!AK14/'sec95'!AK15*C15</f>
        <v>148079.22444531386</v>
      </c>
      <c r="D14" s="44">
        <f t="shared" si="0"/>
        <v>148274.39210161072</v>
      </c>
      <c r="E14" s="44">
        <f t="shared" si="1"/>
        <v>148274.39210161072</v>
      </c>
      <c r="F14" s="44">
        <f t="shared" si="2"/>
        <v>148274.39210161072</v>
      </c>
      <c r="G14" s="44">
        <f t="shared" si="3"/>
        <v>148274.39210161072</v>
      </c>
      <c r="H14" s="44">
        <f t="shared" si="4"/>
        <v>148274.39210161072</v>
      </c>
      <c r="I14" s="44">
        <f t="shared" si="5"/>
        <v>148274.39210161072</v>
      </c>
      <c r="J14" s="44">
        <f t="shared" si="6"/>
        <v>148274.39210161072</v>
      </c>
      <c r="K14" s="44">
        <f t="shared" si="7"/>
        <v>148281.02043710751</v>
      </c>
      <c r="L14" s="44">
        <f t="shared" si="8"/>
        <v>148281.02043710751</v>
      </c>
      <c r="M14" s="44">
        <f t="shared" si="8"/>
        <v>148281.02043710751</v>
      </c>
      <c r="N14" s="44">
        <f t="shared" si="8"/>
        <v>148281.02043710751</v>
      </c>
      <c r="O14" s="44">
        <f t="shared" si="9"/>
        <v>148281.02043710751</v>
      </c>
      <c r="P14" s="44">
        <f t="shared" si="10"/>
        <v>148281.02043710751</v>
      </c>
      <c r="Q14" s="44">
        <f t="shared" si="11"/>
        <v>148281.02043710751</v>
      </c>
      <c r="R14" s="44">
        <f t="shared" si="12"/>
        <v>148281.02043710751</v>
      </c>
      <c r="S14" s="44">
        <f t="shared" si="13"/>
        <v>148281.02043710751</v>
      </c>
      <c r="T14" s="48">
        <f t="shared" si="14"/>
        <v>148281.02043710754</v>
      </c>
      <c r="U14" s="48">
        <f t="shared" si="16"/>
        <v>148281.02043710754</v>
      </c>
      <c r="V14" s="48">
        <f t="shared" si="17"/>
        <v>148281.02043710754</v>
      </c>
      <c r="W14" s="48">
        <f t="shared" si="18"/>
        <v>148281.02043710754</v>
      </c>
      <c r="X14" s="48">
        <f t="shared" si="19"/>
        <v>148281.02043710754</v>
      </c>
      <c r="Y14" s="48">
        <f t="shared" si="20"/>
        <v>148281.02043710754</v>
      </c>
      <c r="Z14" s="48">
        <f t="shared" si="21"/>
        <v>170483.16563527595</v>
      </c>
      <c r="AA14" s="48">
        <f t="shared" si="22"/>
        <v>170483.16563527597</v>
      </c>
      <c r="AB14" s="48">
        <f t="shared" si="23"/>
        <v>170483.165635276</v>
      </c>
      <c r="AC14" s="48">
        <f t="shared" si="24"/>
        <v>170483.16563527597</v>
      </c>
      <c r="AD14" s="48">
        <f t="shared" si="25"/>
        <v>170483.16563527595</v>
      </c>
      <c r="AE14" s="48">
        <f t="shared" si="26"/>
        <v>170483.16563527595</v>
      </c>
      <c r="AF14" s="48">
        <f t="shared" si="27"/>
        <v>170483.16563527595</v>
      </c>
      <c r="AG14" s="48">
        <f t="shared" si="28"/>
        <v>170483.16563527595</v>
      </c>
      <c r="AH14" s="48">
        <f t="shared" si="29"/>
        <v>170483.16563527595</v>
      </c>
      <c r="AI14" s="48">
        <f t="shared" si="30"/>
        <v>170483.16563527595</v>
      </c>
      <c r="AJ14" s="48">
        <f t="shared" si="31"/>
        <v>170483.16563527595</v>
      </c>
      <c r="AK14" s="48">
        <f t="shared" si="32"/>
        <v>170483.16563527595</v>
      </c>
    </row>
    <row r="15" spans="1:38" x14ac:dyDescent="0.2">
      <c r="A15" s="63">
        <v>1973</v>
      </c>
      <c r="B15" s="63">
        <v>1</v>
      </c>
      <c r="C15" s="44">
        <f>'sec95'!AK15/'sec95'!AK16*C16</f>
        <v>149415.23617469473</v>
      </c>
      <c r="D15" s="44">
        <f t="shared" si="0"/>
        <v>149612.16468758025</v>
      </c>
      <c r="E15" s="44">
        <f t="shared" si="1"/>
        <v>149612.16468758025</v>
      </c>
      <c r="F15" s="44">
        <f t="shared" si="2"/>
        <v>149612.16468758025</v>
      </c>
      <c r="G15" s="44">
        <f t="shared" si="3"/>
        <v>149612.16468758025</v>
      </c>
      <c r="H15" s="44">
        <f t="shared" si="4"/>
        <v>149612.16468758025</v>
      </c>
      <c r="I15" s="44">
        <f t="shared" si="5"/>
        <v>149612.16468758025</v>
      </c>
      <c r="J15" s="44">
        <f t="shared" si="6"/>
        <v>149612.16468758025</v>
      </c>
      <c r="K15" s="44">
        <f t="shared" si="7"/>
        <v>149618.85282575362</v>
      </c>
      <c r="L15" s="44">
        <f t="shared" si="8"/>
        <v>149618.85282575362</v>
      </c>
      <c r="M15" s="44">
        <f t="shared" si="8"/>
        <v>149618.85282575362</v>
      </c>
      <c r="N15" s="44">
        <f t="shared" si="8"/>
        <v>149618.85282575362</v>
      </c>
      <c r="O15" s="44">
        <f t="shared" si="9"/>
        <v>149618.85282575362</v>
      </c>
      <c r="P15" s="44">
        <f t="shared" si="10"/>
        <v>149618.85282575362</v>
      </c>
      <c r="Q15" s="44">
        <f t="shared" si="11"/>
        <v>149618.85282575362</v>
      </c>
      <c r="R15" s="44">
        <f t="shared" si="12"/>
        <v>149618.85282575362</v>
      </c>
      <c r="S15" s="44">
        <f t="shared" si="13"/>
        <v>149618.85282575362</v>
      </c>
      <c r="T15" s="48">
        <f t="shared" si="14"/>
        <v>149618.85282575365</v>
      </c>
      <c r="U15" s="48">
        <f t="shared" si="16"/>
        <v>149618.85282575365</v>
      </c>
      <c r="V15" s="48">
        <f t="shared" si="17"/>
        <v>149618.85282575365</v>
      </c>
      <c r="W15" s="48">
        <f t="shared" si="18"/>
        <v>149618.85282575365</v>
      </c>
      <c r="X15" s="48">
        <f t="shared" si="19"/>
        <v>149618.85282575365</v>
      </c>
      <c r="Y15" s="48">
        <f t="shared" si="20"/>
        <v>149618.85282575365</v>
      </c>
      <c r="Z15" s="48">
        <f t="shared" si="21"/>
        <v>172021.31192017105</v>
      </c>
      <c r="AA15" s="48">
        <f t="shared" si="22"/>
        <v>172021.31192017108</v>
      </c>
      <c r="AB15" s="48">
        <f t="shared" si="23"/>
        <v>172021.31192017111</v>
      </c>
      <c r="AC15" s="48">
        <f t="shared" si="24"/>
        <v>172021.31192017108</v>
      </c>
      <c r="AD15" s="48">
        <f t="shared" si="25"/>
        <v>172021.31192017105</v>
      </c>
      <c r="AE15" s="48">
        <f t="shared" si="26"/>
        <v>172021.31192017105</v>
      </c>
      <c r="AF15" s="48">
        <f t="shared" si="27"/>
        <v>172021.31192017105</v>
      </c>
      <c r="AG15" s="48">
        <f t="shared" si="28"/>
        <v>172021.31192017105</v>
      </c>
      <c r="AH15" s="48">
        <f t="shared" si="29"/>
        <v>172021.31192017105</v>
      </c>
      <c r="AI15" s="48">
        <f t="shared" si="30"/>
        <v>172021.31192017105</v>
      </c>
      <c r="AJ15" s="48">
        <f t="shared" si="31"/>
        <v>172021.31192017105</v>
      </c>
      <c r="AK15" s="48">
        <f t="shared" si="32"/>
        <v>172021.31192017105</v>
      </c>
    </row>
    <row r="16" spans="1:38" x14ac:dyDescent="0.2">
      <c r="A16" s="63">
        <v>1973</v>
      </c>
      <c r="B16" s="63">
        <v>2</v>
      </c>
      <c r="C16" s="44">
        <f>'sec95'!AK16/'sec95'!AK17*C17</f>
        <v>153891.56413396055</v>
      </c>
      <c r="D16" s="44">
        <f t="shared" si="0"/>
        <v>154094.39242407613</v>
      </c>
      <c r="E16" s="44">
        <f t="shared" si="1"/>
        <v>154094.39242407613</v>
      </c>
      <c r="F16" s="44">
        <f t="shared" si="2"/>
        <v>154094.39242407613</v>
      </c>
      <c r="G16" s="44">
        <f t="shared" si="3"/>
        <v>154094.39242407613</v>
      </c>
      <c r="H16" s="44">
        <f t="shared" si="4"/>
        <v>154094.39242407613</v>
      </c>
      <c r="I16" s="44">
        <f t="shared" si="5"/>
        <v>154094.39242407613</v>
      </c>
      <c r="J16" s="44">
        <f t="shared" si="6"/>
        <v>154094.39242407613</v>
      </c>
      <c r="K16" s="44">
        <f t="shared" si="7"/>
        <v>154101.28093204222</v>
      </c>
      <c r="L16" s="44">
        <f t="shared" si="8"/>
        <v>154101.28093204222</v>
      </c>
      <c r="M16" s="44">
        <f t="shared" si="8"/>
        <v>154101.28093204222</v>
      </c>
      <c r="N16" s="44">
        <f t="shared" si="8"/>
        <v>154101.28093204222</v>
      </c>
      <c r="O16" s="44">
        <f t="shared" si="9"/>
        <v>154101.28093204222</v>
      </c>
      <c r="P16" s="44">
        <f t="shared" si="10"/>
        <v>154101.28093204222</v>
      </c>
      <c r="Q16" s="44">
        <f t="shared" si="11"/>
        <v>154101.28093204222</v>
      </c>
      <c r="R16" s="44">
        <f t="shared" si="12"/>
        <v>154101.28093204222</v>
      </c>
      <c r="S16" s="44">
        <f t="shared" si="13"/>
        <v>154101.28093204222</v>
      </c>
      <c r="T16" s="48">
        <f t="shared" si="14"/>
        <v>154101.28093204225</v>
      </c>
      <c r="U16" s="48">
        <f t="shared" si="16"/>
        <v>154101.28093204225</v>
      </c>
      <c r="V16" s="48">
        <f t="shared" si="17"/>
        <v>154101.28093204225</v>
      </c>
      <c r="W16" s="48">
        <f t="shared" si="18"/>
        <v>154101.28093204225</v>
      </c>
      <c r="X16" s="48">
        <f t="shared" si="19"/>
        <v>154101.28093204225</v>
      </c>
      <c r="Y16" s="48">
        <f t="shared" si="20"/>
        <v>154101.28093204225</v>
      </c>
      <c r="Z16" s="48">
        <f t="shared" si="21"/>
        <v>177174.89483347948</v>
      </c>
      <c r="AA16" s="48">
        <f t="shared" si="22"/>
        <v>177174.89483347951</v>
      </c>
      <c r="AB16" s="48">
        <f t="shared" si="23"/>
        <v>177174.89483347954</v>
      </c>
      <c r="AC16" s="48">
        <f t="shared" si="24"/>
        <v>177174.89483347951</v>
      </c>
      <c r="AD16" s="48">
        <f t="shared" si="25"/>
        <v>177174.89483347948</v>
      </c>
      <c r="AE16" s="48">
        <f t="shared" si="26"/>
        <v>177174.89483347948</v>
      </c>
      <c r="AF16" s="48">
        <f t="shared" si="27"/>
        <v>177174.89483347948</v>
      </c>
      <c r="AG16" s="48">
        <f t="shared" si="28"/>
        <v>177174.89483347948</v>
      </c>
      <c r="AH16" s="48">
        <f t="shared" si="29"/>
        <v>177174.89483347948</v>
      </c>
      <c r="AI16" s="48">
        <f t="shared" si="30"/>
        <v>177174.89483347948</v>
      </c>
      <c r="AJ16" s="48">
        <f t="shared" si="31"/>
        <v>177174.89483347948</v>
      </c>
      <c r="AK16" s="48">
        <f t="shared" si="32"/>
        <v>177174.89483347948</v>
      </c>
    </row>
    <row r="17" spans="1:37" x14ac:dyDescent="0.2">
      <c r="A17" s="63">
        <v>1973</v>
      </c>
      <c r="B17" s="63">
        <v>3</v>
      </c>
      <c r="C17" s="44">
        <f>'sec95'!AK17/'sec95'!AK18*C18</f>
        <v>158789.1260319573</v>
      </c>
      <c r="D17" s="44">
        <f t="shared" si="0"/>
        <v>158998.40928346792</v>
      </c>
      <c r="E17" s="44">
        <f t="shared" si="1"/>
        <v>158998.40928346792</v>
      </c>
      <c r="F17" s="44">
        <f t="shared" si="2"/>
        <v>158998.40928346792</v>
      </c>
      <c r="G17" s="44">
        <f t="shared" si="3"/>
        <v>158998.40928346792</v>
      </c>
      <c r="H17" s="44">
        <f t="shared" si="4"/>
        <v>158998.40928346792</v>
      </c>
      <c r="I17" s="44">
        <f t="shared" si="5"/>
        <v>158998.40928346792</v>
      </c>
      <c r="J17" s="44">
        <f t="shared" si="6"/>
        <v>158998.40928346792</v>
      </c>
      <c r="K17" s="44">
        <f t="shared" si="7"/>
        <v>159005.51701653798</v>
      </c>
      <c r="L17" s="44">
        <f t="shared" si="8"/>
        <v>159005.51701653798</v>
      </c>
      <c r="M17" s="44">
        <f t="shared" si="8"/>
        <v>159005.51701653798</v>
      </c>
      <c r="N17" s="44">
        <f t="shared" si="8"/>
        <v>159005.51701653798</v>
      </c>
      <c r="O17" s="44">
        <f t="shared" si="9"/>
        <v>159005.51701653798</v>
      </c>
      <c r="P17" s="44">
        <f t="shared" si="10"/>
        <v>159005.51701653798</v>
      </c>
      <c r="Q17" s="44">
        <f t="shared" si="11"/>
        <v>159005.51701653798</v>
      </c>
      <c r="R17" s="44">
        <f t="shared" si="12"/>
        <v>159005.51701653798</v>
      </c>
      <c r="S17" s="44">
        <f t="shared" si="13"/>
        <v>159005.51701653798</v>
      </c>
      <c r="T17" s="48">
        <f t="shared" si="14"/>
        <v>159005.51701653801</v>
      </c>
      <c r="U17" s="48">
        <f t="shared" si="16"/>
        <v>159005.51701653801</v>
      </c>
      <c r="V17" s="48">
        <f t="shared" si="17"/>
        <v>159005.51701653801</v>
      </c>
      <c r="W17" s="48">
        <f t="shared" si="18"/>
        <v>159005.51701653801</v>
      </c>
      <c r="X17" s="48">
        <f t="shared" si="19"/>
        <v>159005.51701653801</v>
      </c>
      <c r="Y17" s="48">
        <f t="shared" si="20"/>
        <v>159005.51701653801</v>
      </c>
      <c r="Z17" s="48">
        <f t="shared" si="21"/>
        <v>182813.44311324542</v>
      </c>
      <c r="AA17" s="48">
        <f t="shared" si="22"/>
        <v>182813.44311324545</v>
      </c>
      <c r="AB17" s="48">
        <f t="shared" si="23"/>
        <v>182813.44311324548</v>
      </c>
      <c r="AC17" s="48">
        <f t="shared" si="24"/>
        <v>182813.44311324545</v>
      </c>
      <c r="AD17" s="48">
        <f t="shared" si="25"/>
        <v>182813.44311324542</v>
      </c>
      <c r="AE17" s="48">
        <f t="shared" si="26"/>
        <v>182813.44311324542</v>
      </c>
      <c r="AF17" s="48">
        <f t="shared" si="27"/>
        <v>182813.44311324542</v>
      </c>
      <c r="AG17" s="48">
        <f t="shared" si="28"/>
        <v>182813.44311324542</v>
      </c>
      <c r="AH17" s="48">
        <f t="shared" si="29"/>
        <v>182813.44311324542</v>
      </c>
      <c r="AI17" s="48">
        <f t="shared" si="30"/>
        <v>182813.44311324542</v>
      </c>
      <c r="AJ17" s="48">
        <f t="shared" si="31"/>
        <v>182813.44311324542</v>
      </c>
      <c r="AK17" s="48">
        <f t="shared" si="32"/>
        <v>182813.44311324542</v>
      </c>
    </row>
    <row r="18" spans="1:37" x14ac:dyDescent="0.2">
      <c r="A18" s="63">
        <v>1973</v>
      </c>
      <c r="B18" s="63">
        <v>4</v>
      </c>
      <c r="C18" s="44">
        <f>'sec95'!AK18/'sec95'!AK19*C19</f>
        <v>162667.46248692123</v>
      </c>
      <c r="D18" s="44">
        <f t="shared" si="0"/>
        <v>162881.8573659345</v>
      </c>
      <c r="E18" s="44">
        <f t="shared" si="1"/>
        <v>162881.8573659345</v>
      </c>
      <c r="F18" s="44">
        <f t="shared" si="2"/>
        <v>162881.8573659345</v>
      </c>
      <c r="G18" s="44">
        <f t="shared" si="3"/>
        <v>162881.8573659345</v>
      </c>
      <c r="H18" s="44">
        <f t="shared" si="4"/>
        <v>162881.8573659345</v>
      </c>
      <c r="I18" s="44">
        <f t="shared" si="5"/>
        <v>162881.8573659345</v>
      </c>
      <c r="J18" s="44">
        <f t="shared" si="6"/>
        <v>162881.8573659345</v>
      </c>
      <c r="K18" s="44">
        <f t="shared" si="7"/>
        <v>162889.13870144804</v>
      </c>
      <c r="L18" s="44">
        <f t="shared" si="8"/>
        <v>162889.13870144804</v>
      </c>
      <c r="M18" s="44">
        <f t="shared" si="8"/>
        <v>162889.13870144804</v>
      </c>
      <c r="N18" s="44">
        <f t="shared" si="8"/>
        <v>162889.13870144804</v>
      </c>
      <c r="O18" s="44">
        <f t="shared" si="9"/>
        <v>162889.13870144804</v>
      </c>
      <c r="P18" s="44">
        <f t="shared" si="10"/>
        <v>162889.13870144804</v>
      </c>
      <c r="Q18" s="44">
        <f t="shared" si="11"/>
        <v>162889.13870144804</v>
      </c>
      <c r="R18" s="44">
        <f t="shared" si="12"/>
        <v>162889.13870144804</v>
      </c>
      <c r="S18" s="44">
        <f t="shared" si="13"/>
        <v>162889.13870144804</v>
      </c>
      <c r="T18" s="48">
        <f t="shared" si="14"/>
        <v>162889.13870144807</v>
      </c>
      <c r="U18" s="48">
        <f t="shared" si="16"/>
        <v>162889.13870144807</v>
      </c>
      <c r="V18" s="48">
        <f t="shared" si="17"/>
        <v>162889.13870144807</v>
      </c>
      <c r="W18" s="48">
        <f t="shared" si="18"/>
        <v>162889.13870144807</v>
      </c>
      <c r="X18" s="48">
        <f t="shared" si="19"/>
        <v>162889.13870144807</v>
      </c>
      <c r="Y18" s="48">
        <f t="shared" si="20"/>
        <v>162889.13870144807</v>
      </c>
      <c r="Z18" s="48">
        <f t="shared" si="21"/>
        <v>187278.56020659651</v>
      </c>
      <c r="AA18" s="48">
        <f t="shared" si="22"/>
        <v>187278.56020659654</v>
      </c>
      <c r="AB18" s="48">
        <f t="shared" si="23"/>
        <v>187278.56020659656</v>
      </c>
      <c r="AC18" s="48">
        <f t="shared" si="24"/>
        <v>187278.56020659654</v>
      </c>
      <c r="AD18" s="48">
        <f t="shared" si="25"/>
        <v>187278.56020659651</v>
      </c>
      <c r="AE18" s="48">
        <f t="shared" si="26"/>
        <v>187278.56020659651</v>
      </c>
      <c r="AF18" s="48">
        <f t="shared" si="27"/>
        <v>187278.56020659651</v>
      </c>
      <c r="AG18" s="48">
        <f t="shared" si="28"/>
        <v>187278.56020659651</v>
      </c>
      <c r="AH18" s="48">
        <f t="shared" si="29"/>
        <v>187278.56020659651</v>
      </c>
      <c r="AI18" s="48">
        <f t="shared" si="30"/>
        <v>187278.56020659651</v>
      </c>
      <c r="AJ18" s="48">
        <f t="shared" si="31"/>
        <v>187278.56020659651</v>
      </c>
      <c r="AK18" s="48">
        <f t="shared" si="32"/>
        <v>187278.56020659651</v>
      </c>
    </row>
    <row r="19" spans="1:37" x14ac:dyDescent="0.2">
      <c r="A19" s="63">
        <v>1974</v>
      </c>
      <c r="B19" s="63">
        <v>1</v>
      </c>
      <c r="C19" s="44">
        <f>'sec95'!AK19/'sec95'!AK20*C20</f>
        <v>163986.25757030494</v>
      </c>
      <c r="D19" s="44">
        <f t="shared" si="0"/>
        <v>164202.39061445597</v>
      </c>
      <c r="E19" s="44">
        <f t="shared" si="1"/>
        <v>164202.39061445597</v>
      </c>
      <c r="F19" s="44">
        <f t="shared" si="2"/>
        <v>164202.39061445597</v>
      </c>
      <c r="G19" s="44">
        <f t="shared" si="3"/>
        <v>164202.39061445597</v>
      </c>
      <c r="H19" s="44">
        <f t="shared" si="4"/>
        <v>164202.39061445597</v>
      </c>
      <c r="I19" s="44">
        <f t="shared" si="5"/>
        <v>164202.39061445597</v>
      </c>
      <c r="J19" s="44">
        <f t="shared" si="6"/>
        <v>164202.39061445597</v>
      </c>
      <c r="K19" s="44">
        <f t="shared" si="7"/>
        <v>164209.73098199308</v>
      </c>
      <c r="L19" s="44">
        <f t="shared" si="8"/>
        <v>164209.73098199308</v>
      </c>
      <c r="M19" s="44">
        <f t="shared" si="8"/>
        <v>164209.73098199308</v>
      </c>
      <c r="N19" s="44">
        <f t="shared" si="8"/>
        <v>164209.73098199308</v>
      </c>
      <c r="O19" s="44">
        <f t="shared" si="9"/>
        <v>164209.73098199308</v>
      </c>
      <c r="P19" s="44">
        <f t="shared" si="10"/>
        <v>164209.73098199308</v>
      </c>
      <c r="Q19" s="44">
        <f t="shared" si="11"/>
        <v>164209.73098199308</v>
      </c>
      <c r="R19" s="44">
        <f t="shared" si="12"/>
        <v>164209.73098199308</v>
      </c>
      <c r="S19" s="44">
        <f t="shared" si="13"/>
        <v>164209.73098199308</v>
      </c>
      <c r="T19" s="48">
        <f t="shared" si="14"/>
        <v>164209.73098199311</v>
      </c>
      <c r="U19" s="48">
        <f t="shared" si="16"/>
        <v>164209.73098199311</v>
      </c>
      <c r="V19" s="48">
        <f t="shared" si="17"/>
        <v>164209.73098199311</v>
      </c>
      <c r="W19" s="48">
        <f t="shared" si="18"/>
        <v>164209.73098199311</v>
      </c>
      <c r="X19" s="48">
        <f t="shared" si="19"/>
        <v>164209.73098199311</v>
      </c>
      <c r="Y19" s="48">
        <f t="shared" si="20"/>
        <v>164209.73098199311</v>
      </c>
      <c r="Z19" s="48">
        <f t="shared" si="21"/>
        <v>188796.88501874814</v>
      </c>
      <c r="AA19" s="48">
        <f t="shared" si="22"/>
        <v>188796.88501874817</v>
      </c>
      <c r="AB19" s="48">
        <f t="shared" si="23"/>
        <v>188796.8850187482</v>
      </c>
      <c r="AC19" s="48">
        <f t="shared" si="24"/>
        <v>188796.8850187482</v>
      </c>
      <c r="AD19" s="48">
        <f t="shared" si="25"/>
        <v>188796.88501874817</v>
      </c>
      <c r="AE19" s="48">
        <f t="shared" si="26"/>
        <v>188796.88501874817</v>
      </c>
      <c r="AF19" s="48">
        <f t="shared" si="27"/>
        <v>188796.88501874817</v>
      </c>
      <c r="AG19" s="48">
        <f t="shared" si="28"/>
        <v>188796.88501874817</v>
      </c>
      <c r="AH19" s="48">
        <f t="shared" si="29"/>
        <v>188796.88501874817</v>
      </c>
      <c r="AI19" s="48">
        <f t="shared" si="30"/>
        <v>188796.88501874817</v>
      </c>
      <c r="AJ19" s="48">
        <f t="shared" si="31"/>
        <v>188796.88501874817</v>
      </c>
      <c r="AK19" s="48">
        <f t="shared" si="32"/>
        <v>188796.88501874817</v>
      </c>
    </row>
    <row r="20" spans="1:37" x14ac:dyDescent="0.2">
      <c r="A20" s="63">
        <v>1974</v>
      </c>
      <c r="B20" s="63">
        <v>2</v>
      </c>
      <c r="C20" s="44">
        <f>'sec95'!AK20/'sec95'!AK21*C21</f>
        <v>165552.97235604798</v>
      </c>
      <c r="D20" s="44">
        <f t="shared" si="0"/>
        <v>165771.17032222953</v>
      </c>
      <c r="E20" s="44">
        <f t="shared" si="1"/>
        <v>165771.17032222953</v>
      </c>
      <c r="F20" s="44">
        <f t="shared" si="2"/>
        <v>165771.17032222953</v>
      </c>
      <c r="G20" s="44">
        <f t="shared" si="3"/>
        <v>165771.17032222953</v>
      </c>
      <c r="H20" s="44">
        <f t="shared" si="4"/>
        <v>165771.17032222953</v>
      </c>
      <c r="I20" s="44">
        <f t="shared" si="5"/>
        <v>165771.17032222953</v>
      </c>
      <c r="J20" s="44">
        <f t="shared" si="6"/>
        <v>165771.17032222953</v>
      </c>
      <c r="K20" s="44">
        <f t="shared" si="7"/>
        <v>165778.58081919409</v>
      </c>
      <c r="L20" s="44">
        <f t="shared" si="8"/>
        <v>165778.58081919409</v>
      </c>
      <c r="M20" s="44">
        <f t="shared" si="8"/>
        <v>165778.58081919409</v>
      </c>
      <c r="N20" s="44">
        <f t="shared" si="8"/>
        <v>165778.58081919409</v>
      </c>
      <c r="O20" s="44">
        <f t="shared" si="9"/>
        <v>165778.58081919409</v>
      </c>
      <c r="P20" s="44">
        <f t="shared" si="10"/>
        <v>165778.58081919409</v>
      </c>
      <c r="Q20" s="44">
        <f t="shared" si="11"/>
        <v>165778.58081919409</v>
      </c>
      <c r="R20" s="44">
        <f t="shared" si="12"/>
        <v>165778.58081919409</v>
      </c>
      <c r="S20" s="44">
        <f t="shared" si="13"/>
        <v>165778.58081919409</v>
      </c>
      <c r="T20" s="48">
        <f t="shared" si="14"/>
        <v>165778.58081919412</v>
      </c>
      <c r="U20" s="48">
        <f t="shared" si="16"/>
        <v>165778.58081919412</v>
      </c>
      <c r="V20" s="48">
        <f t="shared" si="17"/>
        <v>165778.58081919412</v>
      </c>
      <c r="W20" s="48">
        <f t="shared" si="18"/>
        <v>165778.58081919412</v>
      </c>
      <c r="X20" s="48">
        <f t="shared" si="19"/>
        <v>165778.58081919412</v>
      </c>
      <c r="Y20" s="48">
        <f t="shared" si="20"/>
        <v>165778.58081919412</v>
      </c>
      <c r="Z20" s="48">
        <f t="shared" si="21"/>
        <v>190600.63903840608</v>
      </c>
      <c r="AA20" s="48">
        <f t="shared" si="22"/>
        <v>190600.63903840608</v>
      </c>
      <c r="AB20" s="48">
        <f t="shared" si="23"/>
        <v>190600.63903840611</v>
      </c>
      <c r="AC20" s="48">
        <f t="shared" si="24"/>
        <v>190600.63903840611</v>
      </c>
      <c r="AD20" s="48">
        <f t="shared" si="25"/>
        <v>190600.63903840608</v>
      </c>
      <c r="AE20" s="48">
        <f t="shared" si="26"/>
        <v>190600.63903840608</v>
      </c>
      <c r="AF20" s="48">
        <f t="shared" si="27"/>
        <v>190600.63903840608</v>
      </c>
      <c r="AG20" s="48">
        <f t="shared" si="28"/>
        <v>190600.63903840608</v>
      </c>
      <c r="AH20" s="48">
        <f t="shared" si="29"/>
        <v>190600.63903840608</v>
      </c>
      <c r="AI20" s="48">
        <f t="shared" si="30"/>
        <v>190600.63903840608</v>
      </c>
      <c r="AJ20" s="48">
        <f t="shared" si="31"/>
        <v>190600.63903840608</v>
      </c>
      <c r="AK20" s="48">
        <f t="shared" si="32"/>
        <v>190600.63903840608</v>
      </c>
    </row>
    <row r="21" spans="1:37" x14ac:dyDescent="0.2">
      <c r="A21" s="63">
        <v>1974</v>
      </c>
      <c r="B21" s="63">
        <v>3</v>
      </c>
      <c r="C21" s="44">
        <f>'sec95'!AK21/'sec95'!AK22*C22</f>
        <v>165828.43869200279</v>
      </c>
      <c r="D21" s="44">
        <f t="shared" si="0"/>
        <v>166046.99972139849</v>
      </c>
      <c r="E21" s="44">
        <f t="shared" si="1"/>
        <v>166046.99972139849</v>
      </c>
      <c r="F21" s="44">
        <f t="shared" si="2"/>
        <v>166046.99972139849</v>
      </c>
      <c r="G21" s="44">
        <f t="shared" si="3"/>
        <v>166046.99972139849</v>
      </c>
      <c r="H21" s="44">
        <f t="shared" si="4"/>
        <v>166046.99972139849</v>
      </c>
      <c r="I21" s="44">
        <f t="shared" si="5"/>
        <v>166046.99972139849</v>
      </c>
      <c r="J21" s="44">
        <f t="shared" si="6"/>
        <v>166046.99972139849</v>
      </c>
      <c r="K21" s="44">
        <f t="shared" si="7"/>
        <v>166054.42254881182</v>
      </c>
      <c r="L21" s="44">
        <f t="shared" si="8"/>
        <v>166054.42254881182</v>
      </c>
      <c r="M21" s="44">
        <f t="shared" si="8"/>
        <v>166054.42254881182</v>
      </c>
      <c r="N21" s="44">
        <f t="shared" si="8"/>
        <v>166054.42254881182</v>
      </c>
      <c r="O21" s="44">
        <f t="shared" si="9"/>
        <v>166054.42254881182</v>
      </c>
      <c r="P21" s="44">
        <f t="shared" si="10"/>
        <v>166054.42254881182</v>
      </c>
      <c r="Q21" s="44">
        <f t="shared" si="11"/>
        <v>166054.42254881182</v>
      </c>
      <c r="R21" s="44">
        <f t="shared" si="12"/>
        <v>166054.42254881182</v>
      </c>
      <c r="S21" s="44">
        <f t="shared" si="13"/>
        <v>166054.42254881182</v>
      </c>
      <c r="T21" s="48">
        <f t="shared" si="14"/>
        <v>166054.42254881185</v>
      </c>
      <c r="U21" s="48">
        <f t="shared" si="16"/>
        <v>166054.42254881185</v>
      </c>
      <c r="V21" s="48">
        <f t="shared" si="17"/>
        <v>166054.42254881185</v>
      </c>
      <c r="W21" s="48">
        <f t="shared" si="18"/>
        <v>166054.42254881185</v>
      </c>
      <c r="X21" s="48">
        <f t="shared" si="19"/>
        <v>166054.42254881185</v>
      </c>
      <c r="Y21" s="48">
        <f t="shared" si="20"/>
        <v>166054.42254881185</v>
      </c>
      <c r="Z21" s="48">
        <f t="shared" si="21"/>
        <v>190917.78260230194</v>
      </c>
      <c r="AA21" s="48">
        <f t="shared" si="22"/>
        <v>190917.78260230194</v>
      </c>
      <c r="AB21" s="48">
        <f t="shared" si="23"/>
        <v>190917.78260230197</v>
      </c>
      <c r="AC21" s="48">
        <f t="shared" si="24"/>
        <v>190917.782602302</v>
      </c>
      <c r="AD21" s="48">
        <f t="shared" si="25"/>
        <v>190917.782602302</v>
      </c>
      <c r="AE21" s="48">
        <f t="shared" si="26"/>
        <v>190917.782602302</v>
      </c>
      <c r="AF21" s="48">
        <f t="shared" si="27"/>
        <v>190917.782602302</v>
      </c>
      <c r="AG21" s="48">
        <f t="shared" si="28"/>
        <v>190917.782602302</v>
      </c>
      <c r="AH21" s="48">
        <f t="shared" si="29"/>
        <v>190917.782602302</v>
      </c>
      <c r="AI21" s="48">
        <f t="shared" si="30"/>
        <v>190917.782602302</v>
      </c>
      <c r="AJ21" s="48">
        <f t="shared" si="31"/>
        <v>190917.782602302</v>
      </c>
      <c r="AK21" s="48">
        <f t="shared" si="32"/>
        <v>190917.782602302</v>
      </c>
    </row>
    <row r="22" spans="1:37" x14ac:dyDescent="0.2">
      <c r="A22" s="63">
        <v>1974</v>
      </c>
      <c r="B22" s="63">
        <v>4</v>
      </c>
      <c r="C22" s="44">
        <f>'sec95'!AK22/'sec95'!AK23*C23</f>
        <v>162362.15396457128</v>
      </c>
      <c r="D22" s="44">
        <f t="shared" si="0"/>
        <v>162576.14644852217</v>
      </c>
      <c r="E22" s="44">
        <f t="shared" si="1"/>
        <v>162576.14644852217</v>
      </c>
      <c r="F22" s="44">
        <f t="shared" si="2"/>
        <v>162576.14644852217</v>
      </c>
      <c r="G22" s="44">
        <f t="shared" si="3"/>
        <v>162576.14644852217</v>
      </c>
      <c r="H22" s="44">
        <f t="shared" si="4"/>
        <v>162576.14644852217</v>
      </c>
      <c r="I22" s="44">
        <f t="shared" si="5"/>
        <v>162576.14644852217</v>
      </c>
      <c r="J22" s="44">
        <f t="shared" si="6"/>
        <v>162576.14644852217</v>
      </c>
      <c r="K22" s="44">
        <f t="shared" si="7"/>
        <v>162583.41411778834</v>
      </c>
      <c r="L22" s="44">
        <f t="shared" si="8"/>
        <v>162583.41411778834</v>
      </c>
      <c r="M22" s="44">
        <f t="shared" si="8"/>
        <v>162583.41411778834</v>
      </c>
      <c r="N22" s="44">
        <f t="shared" si="8"/>
        <v>162583.41411778834</v>
      </c>
      <c r="O22" s="44">
        <f t="shared" si="9"/>
        <v>162583.41411778834</v>
      </c>
      <c r="P22" s="44">
        <f t="shared" si="10"/>
        <v>162583.41411778834</v>
      </c>
      <c r="Q22" s="44">
        <f t="shared" si="11"/>
        <v>162583.41411778834</v>
      </c>
      <c r="R22" s="44">
        <f t="shared" si="12"/>
        <v>162583.41411778834</v>
      </c>
      <c r="S22" s="44">
        <f t="shared" si="13"/>
        <v>162583.41411778834</v>
      </c>
      <c r="T22" s="48">
        <f t="shared" si="14"/>
        <v>162583.41411778837</v>
      </c>
      <c r="U22" s="48">
        <f t="shared" si="16"/>
        <v>162583.41411778837</v>
      </c>
      <c r="V22" s="48">
        <f t="shared" si="17"/>
        <v>162583.41411778837</v>
      </c>
      <c r="W22" s="48">
        <f t="shared" si="18"/>
        <v>162583.41411778837</v>
      </c>
      <c r="X22" s="48">
        <f t="shared" si="19"/>
        <v>162583.41411778837</v>
      </c>
      <c r="Y22" s="48">
        <f t="shared" si="20"/>
        <v>162583.41411778837</v>
      </c>
      <c r="Z22" s="48">
        <f t="shared" si="21"/>
        <v>186927.05942327849</v>
      </c>
      <c r="AA22" s="48">
        <f t="shared" si="22"/>
        <v>186927.05942327849</v>
      </c>
      <c r="AB22" s="48">
        <f t="shared" si="23"/>
        <v>186927.05942327852</v>
      </c>
      <c r="AC22" s="48">
        <f t="shared" si="24"/>
        <v>186927.05942327855</v>
      </c>
      <c r="AD22" s="48">
        <f t="shared" si="25"/>
        <v>186927.05942327855</v>
      </c>
      <c r="AE22" s="48">
        <f t="shared" si="26"/>
        <v>186927.05942327855</v>
      </c>
      <c r="AF22" s="48">
        <f t="shared" si="27"/>
        <v>186927.05942327855</v>
      </c>
      <c r="AG22" s="48">
        <f t="shared" si="28"/>
        <v>186927.05942327855</v>
      </c>
      <c r="AH22" s="48">
        <f t="shared" si="29"/>
        <v>186927.05942327855</v>
      </c>
      <c r="AI22" s="48">
        <f t="shared" si="30"/>
        <v>186927.05942327855</v>
      </c>
      <c r="AJ22" s="48">
        <f t="shared" si="31"/>
        <v>186927.05942327855</v>
      </c>
      <c r="AK22" s="48">
        <f t="shared" si="32"/>
        <v>186927.05942327855</v>
      </c>
    </row>
    <row r="23" spans="1:37" x14ac:dyDescent="0.2">
      <c r="A23" s="63">
        <v>1975</v>
      </c>
      <c r="B23" s="63">
        <v>1</v>
      </c>
      <c r="C23" s="44">
        <f>'sec95'!AK23/'sec95'!AK24*C24</f>
        <v>159537.47624463457</v>
      </c>
      <c r="D23" s="44">
        <f t="shared" si="0"/>
        <v>159747.74581787694</v>
      </c>
      <c r="E23" s="44">
        <f t="shared" si="1"/>
        <v>159747.74581787694</v>
      </c>
      <c r="F23" s="44">
        <f t="shared" si="2"/>
        <v>159747.74581787694</v>
      </c>
      <c r="G23" s="44">
        <f t="shared" si="3"/>
        <v>159747.74581787694</v>
      </c>
      <c r="H23" s="44">
        <f t="shared" si="4"/>
        <v>159747.74581787694</v>
      </c>
      <c r="I23" s="44">
        <f t="shared" si="5"/>
        <v>159747.74581787694</v>
      </c>
      <c r="J23" s="44">
        <f t="shared" si="6"/>
        <v>159747.74581787694</v>
      </c>
      <c r="K23" s="44">
        <f t="shared" si="7"/>
        <v>159754.88704866625</v>
      </c>
      <c r="L23" s="44">
        <f t="shared" si="8"/>
        <v>159754.88704866625</v>
      </c>
      <c r="M23" s="44">
        <f t="shared" si="8"/>
        <v>159754.88704866625</v>
      </c>
      <c r="N23" s="44">
        <f t="shared" si="8"/>
        <v>159754.88704866625</v>
      </c>
      <c r="O23" s="44">
        <f t="shared" si="9"/>
        <v>159754.88704866625</v>
      </c>
      <c r="P23" s="44">
        <f t="shared" si="10"/>
        <v>159754.88704866625</v>
      </c>
      <c r="Q23" s="44">
        <f t="shared" si="11"/>
        <v>159754.88704866625</v>
      </c>
      <c r="R23" s="44">
        <f t="shared" si="12"/>
        <v>159754.88704866625</v>
      </c>
      <c r="S23" s="44">
        <f t="shared" si="13"/>
        <v>159754.88704866625</v>
      </c>
      <c r="T23" s="48">
        <f t="shared" si="14"/>
        <v>159754.88704866628</v>
      </c>
      <c r="U23" s="48">
        <f t="shared" si="16"/>
        <v>159754.88704866628</v>
      </c>
      <c r="V23" s="48">
        <f t="shared" si="17"/>
        <v>159754.88704866628</v>
      </c>
      <c r="W23" s="48">
        <f t="shared" si="18"/>
        <v>159754.88704866628</v>
      </c>
      <c r="X23" s="48">
        <f t="shared" si="19"/>
        <v>159754.88704866628</v>
      </c>
      <c r="Y23" s="48">
        <f t="shared" si="20"/>
        <v>159754.88704866628</v>
      </c>
      <c r="Z23" s="48">
        <f t="shared" si="21"/>
        <v>183675.01646182928</v>
      </c>
      <c r="AA23" s="48">
        <f t="shared" si="22"/>
        <v>183675.01646182928</v>
      </c>
      <c r="AB23" s="48">
        <f t="shared" si="23"/>
        <v>183675.01646182931</v>
      </c>
      <c r="AC23" s="48">
        <f t="shared" si="24"/>
        <v>183675.01646182933</v>
      </c>
      <c r="AD23" s="48">
        <f t="shared" si="25"/>
        <v>183675.01646182933</v>
      </c>
      <c r="AE23" s="48">
        <f t="shared" si="26"/>
        <v>183675.01646182933</v>
      </c>
      <c r="AF23" s="48">
        <f t="shared" si="27"/>
        <v>183675.01646182933</v>
      </c>
      <c r="AG23" s="48">
        <f t="shared" si="28"/>
        <v>183675.01646182933</v>
      </c>
      <c r="AH23" s="48">
        <f t="shared" si="29"/>
        <v>183675.01646182933</v>
      </c>
      <c r="AI23" s="48">
        <f t="shared" si="30"/>
        <v>183675.01646182933</v>
      </c>
      <c r="AJ23" s="48">
        <f t="shared" si="31"/>
        <v>183675.01646182933</v>
      </c>
      <c r="AK23" s="48">
        <f t="shared" si="32"/>
        <v>183675.01646182933</v>
      </c>
    </row>
    <row r="24" spans="1:37" x14ac:dyDescent="0.2">
      <c r="A24" s="63">
        <v>1975</v>
      </c>
      <c r="B24" s="63">
        <v>2</v>
      </c>
      <c r="C24" s="44">
        <f>'sec95'!AK24/'sec95'!AK25*C25</f>
        <v>159455.98412024797</v>
      </c>
      <c r="D24" s="44">
        <f t="shared" si="0"/>
        <v>159666.14628728948</v>
      </c>
      <c r="E24" s="44">
        <f t="shared" si="1"/>
        <v>159666.14628728948</v>
      </c>
      <c r="F24" s="44">
        <f t="shared" si="2"/>
        <v>159666.14628728948</v>
      </c>
      <c r="G24" s="44">
        <f t="shared" si="3"/>
        <v>159666.14628728948</v>
      </c>
      <c r="H24" s="44">
        <f t="shared" si="4"/>
        <v>159666.14628728948</v>
      </c>
      <c r="I24" s="44">
        <f t="shared" si="5"/>
        <v>159666.14628728948</v>
      </c>
      <c r="J24" s="44">
        <f t="shared" si="6"/>
        <v>159666.14628728948</v>
      </c>
      <c r="K24" s="44">
        <f t="shared" si="7"/>
        <v>159673.28387032103</v>
      </c>
      <c r="L24" s="44">
        <f t="shared" si="8"/>
        <v>159673.28387032103</v>
      </c>
      <c r="M24" s="44">
        <f t="shared" si="8"/>
        <v>159673.28387032103</v>
      </c>
      <c r="N24" s="44">
        <f t="shared" si="8"/>
        <v>159673.28387032103</v>
      </c>
      <c r="O24" s="44">
        <f t="shared" si="9"/>
        <v>159673.28387032103</v>
      </c>
      <c r="P24" s="44">
        <f t="shared" si="10"/>
        <v>159673.28387032103</v>
      </c>
      <c r="Q24" s="44">
        <f t="shared" si="11"/>
        <v>159673.28387032103</v>
      </c>
      <c r="R24" s="44">
        <f t="shared" si="12"/>
        <v>159673.28387032103</v>
      </c>
      <c r="S24" s="44">
        <f t="shared" si="13"/>
        <v>159673.28387032103</v>
      </c>
      <c r="T24" s="48">
        <f t="shared" si="14"/>
        <v>159673.28387032106</v>
      </c>
      <c r="U24" s="48">
        <f t="shared" si="16"/>
        <v>159673.28387032106</v>
      </c>
      <c r="V24" s="48">
        <f t="shared" si="17"/>
        <v>159673.28387032106</v>
      </c>
      <c r="W24" s="48">
        <f t="shared" si="18"/>
        <v>159673.28387032106</v>
      </c>
      <c r="X24" s="48">
        <f t="shared" si="19"/>
        <v>159673.28387032106</v>
      </c>
      <c r="Y24" s="48">
        <f t="shared" si="20"/>
        <v>159673.28387032106</v>
      </c>
      <c r="Z24" s="48">
        <f t="shared" si="21"/>
        <v>183581.19482417678</v>
      </c>
      <c r="AA24" s="48">
        <f t="shared" si="22"/>
        <v>183581.19482417678</v>
      </c>
      <c r="AB24" s="48">
        <f t="shared" si="23"/>
        <v>183581.19482417681</v>
      </c>
      <c r="AC24" s="48">
        <f t="shared" si="24"/>
        <v>183581.19482417684</v>
      </c>
      <c r="AD24" s="48">
        <f t="shared" si="25"/>
        <v>183581.19482417684</v>
      </c>
      <c r="AE24" s="48">
        <f t="shared" si="26"/>
        <v>183581.19482417684</v>
      </c>
      <c r="AF24" s="48">
        <f t="shared" si="27"/>
        <v>183581.19482417684</v>
      </c>
      <c r="AG24" s="48">
        <f t="shared" si="28"/>
        <v>183581.19482417684</v>
      </c>
      <c r="AH24" s="48">
        <f t="shared" si="29"/>
        <v>183581.19482417684</v>
      </c>
      <c r="AI24" s="48">
        <f t="shared" si="30"/>
        <v>183581.19482417684</v>
      </c>
      <c r="AJ24" s="48">
        <f t="shared" si="31"/>
        <v>183581.19482417684</v>
      </c>
      <c r="AK24" s="48">
        <f t="shared" si="32"/>
        <v>183581.19482417684</v>
      </c>
    </row>
    <row r="25" spans="1:37" x14ac:dyDescent="0.2">
      <c r="A25" s="63">
        <v>1975</v>
      </c>
      <c r="B25" s="63">
        <v>3</v>
      </c>
      <c r="C25" s="44">
        <f>'sec95'!AK25/'sec95'!AK26*C26</f>
        <v>161721.69473347635</v>
      </c>
      <c r="D25" s="44">
        <f t="shared" si="0"/>
        <v>161934.8430954543</v>
      </c>
      <c r="E25" s="44">
        <f t="shared" si="1"/>
        <v>161934.8430954543</v>
      </c>
      <c r="F25" s="44">
        <f t="shared" si="2"/>
        <v>161934.8430954543</v>
      </c>
      <c r="G25" s="44">
        <f t="shared" si="3"/>
        <v>161934.8430954543</v>
      </c>
      <c r="H25" s="44">
        <f t="shared" si="4"/>
        <v>161934.8430954543</v>
      </c>
      <c r="I25" s="44">
        <f t="shared" si="5"/>
        <v>161934.8430954543</v>
      </c>
      <c r="J25" s="44">
        <f t="shared" si="6"/>
        <v>161934.8430954543</v>
      </c>
      <c r="K25" s="44">
        <f t="shared" si="7"/>
        <v>161942.0820964271</v>
      </c>
      <c r="L25" s="44">
        <f t="shared" si="8"/>
        <v>161942.0820964271</v>
      </c>
      <c r="M25" s="44">
        <f t="shared" si="8"/>
        <v>161942.0820964271</v>
      </c>
      <c r="N25" s="44">
        <f t="shared" si="8"/>
        <v>161942.0820964271</v>
      </c>
      <c r="O25" s="44">
        <f t="shared" si="9"/>
        <v>161942.0820964271</v>
      </c>
      <c r="P25" s="44">
        <f t="shared" si="10"/>
        <v>161942.0820964271</v>
      </c>
      <c r="Q25" s="44">
        <f t="shared" si="11"/>
        <v>161942.0820964271</v>
      </c>
      <c r="R25" s="44">
        <f t="shared" si="12"/>
        <v>161942.0820964271</v>
      </c>
      <c r="S25" s="44">
        <f t="shared" si="13"/>
        <v>161942.0820964271</v>
      </c>
      <c r="T25" s="48">
        <f t="shared" si="14"/>
        <v>161942.08209642713</v>
      </c>
      <c r="U25" s="48">
        <f t="shared" si="16"/>
        <v>161942.08209642713</v>
      </c>
      <c r="V25" s="48">
        <f t="shared" si="17"/>
        <v>161942.08209642713</v>
      </c>
      <c r="W25" s="48">
        <f t="shared" si="18"/>
        <v>161942.08209642713</v>
      </c>
      <c r="X25" s="48">
        <f t="shared" si="19"/>
        <v>161942.08209642713</v>
      </c>
      <c r="Y25" s="48">
        <f t="shared" si="20"/>
        <v>161942.08209642713</v>
      </c>
      <c r="Z25" s="48">
        <f t="shared" si="21"/>
        <v>186189.70063722058</v>
      </c>
      <c r="AA25" s="48">
        <f t="shared" si="22"/>
        <v>186189.70063722058</v>
      </c>
      <c r="AB25" s="48">
        <f t="shared" si="23"/>
        <v>186189.70063722061</v>
      </c>
      <c r="AC25" s="48">
        <f t="shared" si="24"/>
        <v>186189.70063722064</v>
      </c>
      <c r="AD25" s="48">
        <f t="shared" si="25"/>
        <v>186189.70063722064</v>
      </c>
      <c r="AE25" s="48">
        <f t="shared" si="26"/>
        <v>186189.70063722064</v>
      </c>
      <c r="AF25" s="48">
        <f t="shared" si="27"/>
        <v>186189.70063722064</v>
      </c>
      <c r="AG25" s="48">
        <f t="shared" si="28"/>
        <v>186189.70063722064</v>
      </c>
      <c r="AH25" s="48">
        <f t="shared" si="29"/>
        <v>186189.70063722064</v>
      </c>
      <c r="AI25" s="48">
        <f t="shared" si="30"/>
        <v>186189.70063722064</v>
      </c>
      <c r="AJ25" s="48">
        <f t="shared" si="31"/>
        <v>186189.70063722064</v>
      </c>
      <c r="AK25" s="48">
        <f t="shared" si="32"/>
        <v>186189.70063722064</v>
      </c>
    </row>
    <row r="26" spans="1:37" x14ac:dyDescent="0.2">
      <c r="A26" s="63">
        <v>1975</v>
      </c>
      <c r="B26" s="63">
        <v>4</v>
      </c>
      <c r="C26" s="44">
        <f>'sec95'!AK26/'sec95'!AK27*C27</f>
        <v>163534.03366877913</v>
      </c>
      <c r="D26" s="44">
        <f t="shared" si="0"/>
        <v>163749.57068415356</v>
      </c>
      <c r="E26" s="44">
        <f t="shared" si="1"/>
        <v>163749.57068415356</v>
      </c>
      <c r="F26" s="44">
        <f t="shared" si="2"/>
        <v>163749.57068415356</v>
      </c>
      <c r="G26" s="44">
        <f t="shared" si="3"/>
        <v>163749.57068415356</v>
      </c>
      <c r="H26" s="44">
        <f t="shared" si="4"/>
        <v>163749.57068415356</v>
      </c>
      <c r="I26" s="44">
        <f t="shared" si="5"/>
        <v>163749.57068415356</v>
      </c>
      <c r="J26" s="44">
        <f t="shared" si="6"/>
        <v>163749.57068415356</v>
      </c>
      <c r="K26" s="44">
        <f t="shared" si="7"/>
        <v>163756.89080920396</v>
      </c>
      <c r="L26" s="44">
        <f t="shared" si="8"/>
        <v>163756.89080920396</v>
      </c>
      <c r="M26" s="44">
        <f t="shared" si="8"/>
        <v>163756.89080920396</v>
      </c>
      <c r="N26" s="44">
        <f t="shared" si="8"/>
        <v>163756.89080920396</v>
      </c>
      <c r="O26" s="44">
        <f t="shared" si="9"/>
        <v>163756.89080920396</v>
      </c>
      <c r="P26" s="44">
        <f t="shared" si="10"/>
        <v>163756.89080920396</v>
      </c>
      <c r="Q26" s="44">
        <f t="shared" si="11"/>
        <v>163756.89080920396</v>
      </c>
      <c r="R26" s="44">
        <f t="shared" si="12"/>
        <v>163756.89080920396</v>
      </c>
      <c r="S26" s="44">
        <f t="shared" si="13"/>
        <v>163756.89080920396</v>
      </c>
      <c r="T26" s="48">
        <f t="shared" si="14"/>
        <v>163756.89080920399</v>
      </c>
      <c r="U26" s="48">
        <f t="shared" si="16"/>
        <v>163756.89080920399</v>
      </c>
      <c r="V26" s="48">
        <f t="shared" si="17"/>
        <v>163756.89080920399</v>
      </c>
      <c r="W26" s="48">
        <f t="shared" si="18"/>
        <v>163756.89080920399</v>
      </c>
      <c r="X26" s="48">
        <f t="shared" si="19"/>
        <v>163756.89080920399</v>
      </c>
      <c r="Y26" s="48">
        <f t="shared" si="20"/>
        <v>163756.89080920399</v>
      </c>
      <c r="Z26" s="48">
        <f t="shared" si="21"/>
        <v>188276.24100135241</v>
      </c>
      <c r="AA26" s="48">
        <f t="shared" si="22"/>
        <v>188276.24100135238</v>
      </c>
      <c r="AB26" s="48">
        <f t="shared" si="23"/>
        <v>188276.24100135241</v>
      </c>
      <c r="AC26" s="48">
        <f t="shared" si="24"/>
        <v>188276.24100135246</v>
      </c>
      <c r="AD26" s="48">
        <f t="shared" si="25"/>
        <v>188276.24100135246</v>
      </c>
      <c r="AE26" s="48">
        <f t="shared" si="26"/>
        <v>188276.24100135246</v>
      </c>
      <c r="AF26" s="48">
        <f t="shared" si="27"/>
        <v>188276.24100135246</v>
      </c>
      <c r="AG26" s="48">
        <f t="shared" si="28"/>
        <v>188276.24100135246</v>
      </c>
      <c r="AH26" s="48">
        <f t="shared" si="29"/>
        <v>188276.24100135246</v>
      </c>
      <c r="AI26" s="48">
        <f t="shared" si="30"/>
        <v>188276.24100135246</v>
      </c>
      <c r="AJ26" s="48">
        <f t="shared" si="31"/>
        <v>188276.24100135246</v>
      </c>
      <c r="AK26" s="48">
        <f t="shared" si="32"/>
        <v>188276.24100135246</v>
      </c>
    </row>
    <row r="27" spans="1:37" x14ac:dyDescent="0.2">
      <c r="A27" s="63">
        <v>1976</v>
      </c>
      <c r="B27" s="63">
        <v>1</v>
      </c>
      <c r="C27" s="44">
        <f>'sec95'!AK27/'sec95'!AK28*C28</f>
        <v>166414.9524323066</v>
      </c>
      <c r="D27" s="44">
        <f t="shared" si="0"/>
        <v>166634.28648379576</v>
      </c>
      <c r="E27" s="44">
        <f t="shared" si="1"/>
        <v>166634.28648379576</v>
      </c>
      <c r="F27" s="44">
        <f t="shared" si="2"/>
        <v>166634.28648379576</v>
      </c>
      <c r="G27" s="44">
        <f t="shared" si="3"/>
        <v>166634.28648379576</v>
      </c>
      <c r="H27" s="44">
        <f t="shared" si="4"/>
        <v>166634.28648379576</v>
      </c>
      <c r="I27" s="44">
        <f t="shared" si="5"/>
        <v>166634.28648379576</v>
      </c>
      <c r="J27" s="44">
        <f t="shared" si="6"/>
        <v>166634.28648379576</v>
      </c>
      <c r="K27" s="44">
        <f t="shared" si="7"/>
        <v>166641.73556478968</v>
      </c>
      <c r="L27" s="44">
        <f t="shared" si="8"/>
        <v>166641.73556478968</v>
      </c>
      <c r="M27" s="44">
        <f t="shared" si="8"/>
        <v>166641.73556478968</v>
      </c>
      <c r="N27" s="44">
        <f t="shared" si="8"/>
        <v>166641.73556478968</v>
      </c>
      <c r="O27" s="44">
        <f t="shared" si="9"/>
        <v>166641.73556478968</v>
      </c>
      <c r="P27" s="44">
        <f t="shared" si="10"/>
        <v>166641.73556478968</v>
      </c>
      <c r="Q27" s="44">
        <f t="shared" si="11"/>
        <v>166641.73556478968</v>
      </c>
      <c r="R27" s="44">
        <f t="shared" si="12"/>
        <v>166641.73556478968</v>
      </c>
      <c r="S27" s="44">
        <f t="shared" si="13"/>
        <v>166641.73556478968</v>
      </c>
      <c r="T27" s="48">
        <f t="shared" si="14"/>
        <v>166641.73556478971</v>
      </c>
      <c r="U27" s="48">
        <f t="shared" si="16"/>
        <v>166641.73556478971</v>
      </c>
      <c r="V27" s="48">
        <f t="shared" si="17"/>
        <v>166641.73556478971</v>
      </c>
      <c r="W27" s="48">
        <f t="shared" si="18"/>
        <v>166641.73556478971</v>
      </c>
      <c r="X27" s="48">
        <f t="shared" si="19"/>
        <v>166641.73556478971</v>
      </c>
      <c r="Y27" s="48">
        <f t="shared" si="20"/>
        <v>166641.73556478971</v>
      </c>
      <c r="Z27" s="48">
        <f t="shared" si="21"/>
        <v>191593.03410709702</v>
      </c>
      <c r="AA27" s="48">
        <f t="shared" si="22"/>
        <v>191593.03410709699</v>
      </c>
      <c r="AB27" s="48">
        <f t="shared" si="23"/>
        <v>191593.03410709702</v>
      </c>
      <c r="AC27" s="48">
        <f t="shared" si="24"/>
        <v>191593.03410709708</v>
      </c>
      <c r="AD27" s="48">
        <f t="shared" si="25"/>
        <v>191593.03410709708</v>
      </c>
      <c r="AE27" s="48">
        <f t="shared" si="26"/>
        <v>191593.03410709708</v>
      </c>
      <c r="AF27" s="48">
        <f t="shared" si="27"/>
        <v>191593.03410709708</v>
      </c>
      <c r="AG27" s="48">
        <f t="shared" si="28"/>
        <v>191593.03410709708</v>
      </c>
      <c r="AH27" s="48">
        <f t="shared" si="29"/>
        <v>191593.03410709708</v>
      </c>
      <c r="AI27" s="48">
        <f t="shared" si="30"/>
        <v>191593.03410709708</v>
      </c>
      <c r="AJ27" s="48">
        <f t="shared" si="31"/>
        <v>191593.03410709708</v>
      </c>
      <c r="AK27" s="48">
        <f t="shared" si="32"/>
        <v>191593.03410709708</v>
      </c>
    </row>
    <row r="28" spans="1:37" x14ac:dyDescent="0.2">
      <c r="A28" s="63">
        <v>1976</v>
      </c>
      <c r="B28" s="63">
        <v>2</v>
      </c>
      <c r="C28" s="44">
        <f>'sec95'!AK28/'sec95'!AK29*C29</f>
        <v>169423.2743762132</v>
      </c>
      <c r="D28" s="44">
        <f t="shared" si="0"/>
        <v>169646.57338055363</v>
      </c>
      <c r="E28" s="44">
        <f t="shared" si="1"/>
        <v>169646.57338055363</v>
      </c>
      <c r="F28" s="44">
        <f t="shared" si="2"/>
        <v>169646.57338055363</v>
      </c>
      <c r="G28" s="44">
        <f t="shared" si="3"/>
        <v>169646.57338055363</v>
      </c>
      <c r="H28" s="44">
        <f t="shared" si="4"/>
        <v>169646.57338055363</v>
      </c>
      <c r="I28" s="44">
        <f t="shared" si="5"/>
        <v>169646.57338055363</v>
      </c>
      <c r="J28" s="44">
        <f t="shared" si="6"/>
        <v>169646.57338055363</v>
      </c>
      <c r="K28" s="44">
        <f t="shared" si="7"/>
        <v>169654.15712032362</v>
      </c>
      <c r="L28" s="44">
        <f t="shared" si="8"/>
        <v>169654.15712032362</v>
      </c>
      <c r="M28" s="44">
        <f t="shared" si="8"/>
        <v>169654.15712032362</v>
      </c>
      <c r="N28" s="44">
        <f t="shared" si="8"/>
        <v>169654.15712032362</v>
      </c>
      <c r="O28" s="44">
        <f t="shared" si="9"/>
        <v>169654.15712032362</v>
      </c>
      <c r="P28" s="44">
        <f t="shared" si="10"/>
        <v>169654.15712032362</v>
      </c>
      <c r="Q28" s="44">
        <f t="shared" si="11"/>
        <v>169654.15712032362</v>
      </c>
      <c r="R28" s="44">
        <f t="shared" si="12"/>
        <v>169654.15712032362</v>
      </c>
      <c r="S28" s="44">
        <f t="shared" si="13"/>
        <v>169654.15712032362</v>
      </c>
      <c r="T28" s="48">
        <f t="shared" si="14"/>
        <v>169654.15712032365</v>
      </c>
      <c r="U28" s="48">
        <f t="shared" si="16"/>
        <v>169654.15712032365</v>
      </c>
      <c r="V28" s="48">
        <f t="shared" si="17"/>
        <v>169654.15712032365</v>
      </c>
      <c r="W28" s="48">
        <f t="shared" si="18"/>
        <v>169654.15712032365</v>
      </c>
      <c r="X28" s="48">
        <f t="shared" si="19"/>
        <v>169654.15712032365</v>
      </c>
      <c r="Y28" s="48">
        <f t="shared" si="20"/>
        <v>169654.15712032365</v>
      </c>
      <c r="Z28" s="48">
        <f t="shared" si="21"/>
        <v>195056.50611114351</v>
      </c>
      <c r="AA28" s="48">
        <f t="shared" si="22"/>
        <v>195056.50611114348</v>
      </c>
      <c r="AB28" s="48">
        <f t="shared" si="23"/>
        <v>195056.50611114351</v>
      </c>
      <c r="AC28" s="48">
        <f t="shared" si="24"/>
        <v>195056.50611114356</v>
      </c>
      <c r="AD28" s="48">
        <f t="shared" si="25"/>
        <v>195056.50611114356</v>
      </c>
      <c r="AE28" s="48">
        <f t="shared" si="26"/>
        <v>195056.50611114356</v>
      </c>
      <c r="AF28" s="48">
        <f t="shared" si="27"/>
        <v>195056.50611114356</v>
      </c>
      <c r="AG28" s="48">
        <f t="shared" si="28"/>
        <v>195056.50611114356</v>
      </c>
      <c r="AH28" s="48">
        <f t="shared" si="29"/>
        <v>195056.50611114356</v>
      </c>
      <c r="AI28" s="48">
        <f t="shared" si="30"/>
        <v>195056.50611114356</v>
      </c>
      <c r="AJ28" s="48">
        <f t="shared" si="31"/>
        <v>195056.50611114356</v>
      </c>
      <c r="AK28" s="48">
        <f t="shared" si="32"/>
        <v>195056.50611114356</v>
      </c>
    </row>
    <row r="29" spans="1:37" x14ac:dyDescent="0.2">
      <c r="A29" s="63">
        <v>1976</v>
      </c>
      <c r="B29" s="63">
        <v>3</v>
      </c>
      <c r="C29" s="44">
        <f>'sec95'!AK29/'sec95'!AK30*C30</f>
        <v>173728.5836519071</v>
      </c>
      <c r="D29" s="44">
        <f t="shared" si="0"/>
        <v>173957.55703173214</v>
      </c>
      <c r="E29" s="44">
        <f t="shared" si="1"/>
        <v>173957.55703173214</v>
      </c>
      <c r="F29" s="44">
        <f t="shared" si="2"/>
        <v>173957.55703173214</v>
      </c>
      <c r="G29" s="44">
        <f t="shared" si="3"/>
        <v>173957.55703173214</v>
      </c>
      <c r="H29" s="44">
        <f t="shared" si="4"/>
        <v>173957.55703173214</v>
      </c>
      <c r="I29" s="44">
        <f t="shared" si="5"/>
        <v>173957.55703173214</v>
      </c>
      <c r="J29" s="44">
        <f t="shared" si="6"/>
        <v>173957.55703173214</v>
      </c>
      <c r="K29" s="44">
        <f t="shared" si="7"/>
        <v>173965.33348614123</v>
      </c>
      <c r="L29" s="44">
        <f t="shared" si="8"/>
        <v>173965.33348614123</v>
      </c>
      <c r="M29" s="44">
        <f t="shared" si="8"/>
        <v>173965.33348614123</v>
      </c>
      <c r="N29" s="44">
        <f t="shared" si="8"/>
        <v>173965.33348614123</v>
      </c>
      <c r="O29" s="44">
        <f t="shared" si="9"/>
        <v>173965.33348614123</v>
      </c>
      <c r="P29" s="44">
        <f t="shared" si="10"/>
        <v>173965.33348614123</v>
      </c>
      <c r="Q29" s="44">
        <f t="shared" si="11"/>
        <v>173965.33348614123</v>
      </c>
      <c r="R29" s="44">
        <f t="shared" si="12"/>
        <v>173965.33348614123</v>
      </c>
      <c r="S29" s="44">
        <f t="shared" si="13"/>
        <v>173965.33348614123</v>
      </c>
      <c r="T29" s="48">
        <f t="shared" si="14"/>
        <v>173965.33348614126</v>
      </c>
      <c r="U29" s="48">
        <f t="shared" si="16"/>
        <v>173965.33348614126</v>
      </c>
      <c r="V29" s="48">
        <f t="shared" si="17"/>
        <v>173965.33348614126</v>
      </c>
      <c r="W29" s="48">
        <f t="shared" si="18"/>
        <v>173965.33348614126</v>
      </c>
      <c r="X29" s="48">
        <f t="shared" si="19"/>
        <v>173965.33348614126</v>
      </c>
      <c r="Y29" s="48">
        <f t="shared" si="20"/>
        <v>173965.33348614126</v>
      </c>
      <c r="Z29" s="48">
        <f t="shared" si="21"/>
        <v>200013.19572853326</v>
      </c>
      <c r="AA29" s="48">
        <f t="shared" si="22"/>
        <v>200013.19572853323</v>
      </c>
      <c r="AB29" s="48">
        <f t="shared" si="23"/>
        <v>200013.19572853326</v>
      </c>
      <c r="AC29" s="48">
        <f t="shared" si="24"/>
        <v>200013.19572853329</v>
      </c>
      <c r="AD29" s="48">
        <f t="shared" si="25"/>
        <v>200013.19572853329</v>
      </c>
      <c r="AE29" s="48">
        <f t="shared" si="26"/>
        <v>200013.19572853329</v>
      </c>
      <c r="AF29" s="48">
        <f t="shared" si="27"/>
        <v>200013.19572853329</v>
      </c>
      <c r="AG29" s="48">
        <f t="shared" si="28"/>
        <v>200013.19572853329</v>
      </c>
      <c r="AH29" s="48">
        <f t="shared" si="29"/>
        <v>200013.19572853329</v>
      </c>
      <c r="AI29" s="48">
        <f t="shared" si="30"/>
        <v>200013.19572853329</v>
      </c>
      <c r="AJ29" s="48">
        <f t="shared" si="31"/>
        <v>200013.19572853329</v>
      </c>
      <c r="AK29" s="48">
        <f t="shared" si="32"/>
        <v>200013.19572853329</v>
      </c>
    </row>
    <row r="30" spans="1:37" x14ac:dyDescent="0.2">
      <c r="A30" s="63">
        <v>1976</v>
      </c>
      <c r="B30" s="63">
        <v>4</v>
      </c>
      <c r="C30" s="44">
        <f>'sec95'!AK30/'sec95'!AK31*C31</f>
        <v>176742.64447781275</v>
      </c>
      <c r="D30" s="44">
        <f t="shared" si="0"/>
        <v>176975.59037430602</v>
      </c>
      <c r="E30" s="44">
        <f t="shared" si="1"/>
        <v>176975.59037430602</v>
      </c>
      <c r="F30" s="44">
        <f t="shared" si="2"/>
        <v>176975.59037430602</v>
      </c>
      <c r="G30" s="44">
        <f t="shared" si="3"/>
        <v>176975.59037430602</v>
      </c>
      <c r="H30" s="44">
        <f t="shared" si="4"/>
        <v>176975.59037430602</v>
      </c>
      <c r="I30" s="44">
        <f t="shared" si="5"/>
        <v>176975.59037430602</v>
      </c>
      <c r="J30" s="44">
        <f t="shared" si="6"/>
        <v>176975.59037430602</v>
      </c>
      <c r="K30" s="44">
        <f t="shared" si="7"/>
        <v>176983.50174437554</v>
      </c>
      <c r="L30" s="44">
        <f t="shared" si="8"/>
        <v>176983.50174437554</v>
      </c>
      <c r="M30" s="44">
        <f t="shared" si="8"/>
        <v>176983.50174437554</v>
      </c>
      <c r="N30" s="44">
        <f t="shared" si="8"/>
        <v>176983.50174437554</v>
      </c>
      <c r="O30" s="44">
        <f t="shared" si="9"/>
        <v>176983.50174437554</v>
      </c>
      <c r="P30" s="44">
        <f t="shared" si="10"/>
        <v>176983.50174437554</v>
      </c>
      <c r="Q30" s="44">
        <f t="shared" si="11"/>
        <v>176983.50174437554</v>
      </c>
      <c r="R30" s="44">
        <f t="shared" si="12"/>
        <v>176983.50174437554</v>
      </c>
      <c r="S30" s="44">
        <f t="shared" si="13"/>
        <v>176983.50174437554</v>
      </c>
      <c r="T30" s="48">
        <f t="shared" si="14"/>
        <v>176983.50174437556</v>
      </c>
      <c r="U30" s="48">
        <f t="shared" si="16"/>
        <v>176983.50174437556</v>
      </c>
      <c r="V30" s="48">
        <f t="shared" si="17"/>
        <v>176983.50174437556</v>
      </c>
      <c r="W30" s="48">
        <f t="shared" si="18"/>
        <v>176983.50174437556</v>
      </c>
      <c r="X30" s="48">
        <f t="shared" si="19"/>
        <v>176983.50174437556</v>
      </c>
      <c r="Y30" s="48">
        <f t="shared" si="20"/>
        <v>176983.50174437556</v>
      </c>
      <c r="Z30" s="48">
        <f t="shared" si="21"/>
        <v>203483.27489016092</v>
      </c>
      <c r="AA30" s="48">
        <f t="shared" si="22"/>
        <v>203483.27489016089</v>
      </c>
      <c r="AB30" s="48">
        <f t="shared" si="23"/>
        <v>203483.27489016089</v>
      </c>
      <c r="AC30" s="48">
        <f t="shared" si="24"/>
        <v>203483.27489016092</v>
      </c>
      <c r="AD30" s="48">
        <f t="shared" si="25"/>
        <v>203483.27489016092</v>
      </c>
      <c r="AE30" s="48">
        <f t="shared" si="26"/>
        <v>203483.27489016092</v>
      </c>
      <c r="AF30" s="48">
        <f t="shared" si="27"/>
        <v>203483.27489016092</v>
      </c>
      <c r="AG30" s="48">
        <f t="shared" si="28"/>
        <v>203483.27489016092</v>
      </c>
      <c r="AH30" s="48">
        <f t="shared" si="29"/>
        <v>203483.27489016092</v>
      </c>
      <c r="AI30" s="48">
        <f t="shared" si="30"/>
        <v>203483.27489016092</v>
      </c>
      <c r="AJ30" s="48">
        <f t="shared" si="31"/>
        <v>203483.27489016092</v>
      </c>
      <c r="AK30" s="48">
        <f t="shared" si="32"/>
        <v>203483.27489016092</v>
      </c>
    </row>
    <row r="31" spans="1:37" x14ac:dyDescent="0.2">
      <c r="A31" s="63">
        <v>1977</v>
      </c>
      <c r="B31" s="63">
        <v>1</v>
      </c>
      <c r="C31" s="44">
        <f>'sec95'!AK31/'sec95'!AK32*C32</f>
        <v>176812.65883820129</v>
      </c>
      <c r="D31" s="44">
        <f t="shared" si="0"/>
        <v>177045.6970132615</v>
      </c>
      <c r="E31" s="44">
        <f t="shared" si="1"/>
        <v>177045.6970132615</v>
      </c>
      <c r="F31" s="44">
        <f t="shared" si="2"/>
        <v>177045.6970132615</v>
      </c>
      <c r="G31" s="44">
        <f t="shared" si="3"/>
        <v>177045.6970132615</v>
      </c>
      <c r="H31" s="44">
        <f t="shared" si="4"/>
        <v>177045.6970132615</v>
      </c>
      <c r="I31" s="44">
        <f t="shared" si="5"/>
        <v>177045.6970132615</v>
      </c>
      <c r="J31" s="44">
        <f t="shared" si="6"/>
        <v>177045.6970132615</v>
      </c>
      <c r="K31" s="44">
        <f t="shared" si="7"/>
        <v>177053.61151732007</v>
      </c>
      <c r="L31" s="44">
        <f t="shared" si="8"/>
        <v>177053.61151732007</v>
      </c>
      <c r="M31" s="44">
        <f t="shared" si="8"/>
        <v>177053.61151732007</v>
      </c>
      <c r="N31" s="44">
        <f t="shared" si="8"/>
        <v>177053.61151732007</v>
      </c>
      <c r="O31" s="44">
        <f t="shared" si="9"/>
        <v>177053.61151732007</v>
      </c>
      <c r="P31" s="44">
        <f t="shared" si="10"/>
        <v>177053.61151732007</v>
      </c>
      <c r="Q31" s="44">
        <f t="shared" si="11"/>
        <v>177053.61151732007</v>
      </c>
      <c r="R31" s="44">
        <f t="shared" si="12"/>
        <v>177053.61151732007</v>
      </c>
      <c r="S31" s="44">
        <f t="shared" si="13"/>
        <v>177053.61151732007</v>
      </c>
      <c r="T31" s="48">
        <f t="shared" si="14"/>
        <v>177053.6115173201</v>
      </c>
      <c r="U31" s="48">
        <f t="shared" si="16"/>
        <v>177053.6115173201</v>
      </c>
      <c r="V31" s="48">
        <f t="shared" si="17"/>
        <v>177053.6115173201</v>
      </c>
      <c r="W31" s="48">
        <f t="shared" si="18"/>
        <v>177053.6115173201</v>
      </c>
      <c r="X31" s="48">
        <f t="shared" si="19"/>
        <v>177053.6115173201</v>
      </c>
      <c r="Y31" s="48">
        <f t="shared" si="20"/>
        <v>177053.6115173201</v>
      </c>
      <c r="Z31" s="48">
        <f t="shared" si="21"/>
        <v>203563.88221265117</v>
      </c>
      <c r="AA31" s="48">
        <f t="shared" si="22"/>
        <v>203563.88221265114</v>
      </c>
      <c r="AB31" s="48">
        <f t="shared" si="23"/>
        <v>203563.88221265114</v>
      </c>
      <c r="AC31" s="48">
        <f t="shared" si="24"/>
        <v>203563.88221265117</v>
      </c>
      <c r="AD31" s="48">
        <f t="shared" si="25"/>
        <v>203563.88221265117</v>
      </c>
      <c r="AE31" s="48">
        <f t="shared" si="26"/>
        <v>203563.88221265117</v>
      </c>
      <c r="AF31" s="48">
        <f t="shared" si="27"/>
        <v>203563.88221265117</v>
      </c>
      <c r="AG31" s="48">
        <f t="shared" si="28"/>
        <v>203563.88221265117</v>
      </c>
      <c r="AH31" s="48">
        <f t="shared" si="29"/>
        <v>203563.88221265117</v>
      </c>
      <c r="AI31" s="48">
        <f t="shared" si="30"/>
        <v>203563.88221265117</v>
      </c>
      <c r="AJ31" s="48">
        <f t="shared" si="31"/>
        <v>203563.88221265117</v>
      </c>
      <c r="AK31" s="48">
        <f t="shared" si="32"/>
        <v>203563.88221265117</v>
      </c>
    </row>
    <row r="32" spans="1:37" x14ac:dyDescent="0.2">
      <c r="A32" s="63">
        <v>1977</v>
      </c>
      <c r="B32" s="63">
        <v>2</v>
      </c>
      <c r="C32" s="44">
        <f>'sec95'!AK32/'sec95'!AK33*C33</f>
        <v>175827.86668716278</v>
      </c>
      <c r="D32" s="44">
        <f t="shared" si="0"/>
        <v>176059.60691123237</v>
      </c>
      <c r="E32" s="44">
        <f t="shared" si="1"/>
        <v>176059.60691123237</v>
      </c>
      <c r="F32" s="44">
        <f t="shared" si="2"/>
        <v>176059.60691123237</v>
      </c>
      <c r="G32" s="44">
        <f t="shared" si="3"/>
        <v>176059.60691123237</v>
      </c>
      <c r="H32" s="44">
        <f t="shared" si="4"/>
        <v>176059.60691123237</v>
      </c>
      <c r="I32" s="44">
        <f t="shared" si="5"/>
        <v>176059.60691123237</v>
      </c>
      <c r="J32" s="44">
        <f t="shared" si="6"/>
        <v>176059.60691123237</v>
      </c>
      <c r="K32" s="44">
        <f t="shared" si="7"/>
        <v>176067.47733393655</v>
      </c>
      <c r="L32" s="44">
        <f t="shared" si="8"/>
        <v>176067.47733393655</v>
      </c>
      <c r="M32" s="44">
        <f t="shared" si="8"/>
        <v>176067.47733393655</v>
      </c>
      <c r="N32" s="44">
        <f t="shared" si="8"/>
        <v>176067.47733393655</v>
      </c>
      <c r="O32" s="44">
        <f t="shared" si="9"/>
        <v>176067.47733393655</v>
      </c>
      <c r="P32" s="44">
        <f t="shared" si="10"/>
        <v>176067.47733393655</v>
      </c>
      <c r="Q32" s="44">
        <f t="shared" si="11"/>
        <v>176067.47733393655</v>
      </c>
      <c r="R32" s="44">
        <f t="shared" si="12"/>
        <v>176067.47733393655</v>
      </c>
      <c r="S32" s="44">
        <f t="shared" si="13"/>
        <v>176067.47733393655</v>
      </c>
      <c r="T32" s="48">
        <f t="shared" si="14"/>
        <v>176067.47733393658</v>
      </c>
      <c r="U32" s="48">
        <f t="shared" si="16"/>
        <v>176067.47733393658</v>
      </c>
      <c r="V32" s="48">
        <f t="shared" si="17"/>
        <v>176067.47733393658</v>
      </c>
      <c r="W32" s="48">
        <f t="shared" si="18"/>
        <v>176067.47733393658</v>
      </c>
      <c r="X32" s="48">
        <f t="shared" si="19"/>
        <v>176067.47733393658</v>
      </c>
      <c r="Y32" s="48">
        <f t="shared" si="20"/>
        <v>176067.47733393658</v>
      </c>
      <c r="Z32" s="48">
        <f t="shared" si="21"/>
        <v>202430.09397172328</v>
      </c>
      <c r="AA32" s="48">
        <f t="shared" si="22"/>
        <v>202430.09397172325</v>
      </c>
      <c r="AB32" s="48">
        <f t="shared" si="23"/>
        <v>202430.09397172322</v>
      </c>
      <c r="AC32" s="48">
        <f t="shared" si="24"/>
        <v>202430.09397172325</v>
      </c>
      <c r="AD32" s="48">
        <f t="shared" si="25"/>
        <v>202430.09397172325</v>
      </c>
      <c r="AE32" s="48">
        <f t="shared" si="26"/>
        <v>202430.09397172325</v>
      </c>
      <c r="AF32" s="48">
        <f t="shared" si="27"/>
        <v>202430.09397172325</v>
      </c>
      <c r="AG32" s="48">
        <f t="shared" si="28"/>
        <v>202430.09397172325</v>
      </c>
      <c r="AH32" s="48">
        <f t="shared" si="29"/>
        <v>202430.09397172325</v>
      </c>
      <c r="AI32" s="48">
        <f t="shared" si="30"/>
        <v>202430.09397172325</v>
      </c>
      <c r="AJ32" s="48">
        <f t="shared" si="31"/>
        <v>202430.09397172325</v>
      </c>
      <c r="AK32" s="48">
        <f t="shared" si="32"/>
        <v>202430.09397172325</v>
      </c>
    </row>
    <row r="33" spans="1:37" x14ac:dyDescent="0.2">
      <c r="A33" s="63">
        <v>1977</v>
      </c>
      <c r="B33" s="63">
        <v>3</v>
      </c>
      <c r="C33" s="44">
        <f>'sec95'!AK33/'sec95'!AK34*C34</f>
        <v>174183.10310623253</v>
      </c>
      <c r="D33" s="44">
        <f t="shared" si="0"/>
        <v>174412.67554036091</v>
      </c>
      <c r="E33" s="44">
        <f t="shared" si="1"/>
        <v>174412.67554036091</v>
      </c>
      <c r="F33" s="44">
        <f t="shared" si="2"/>
        <v>174412.67554036091</v>
      </c>
      <c r="G33" s="44">
        <f t="shared" si="3"/>
        <v>174412.67554036091</v>
      </c>
      <c r="H33" s="44">
        <f t="shared" si="4"/>
        <v>174412.67554036091</v>
      </c>
      <c r="I33" s="44">
        <f t="shared" si="5"/>
        <v>174412.67554036091</v>
      </c>
      <c r="J33" s="44">
        <f t="shared" si="6"/>
        <v>174412.67554036091</v>
      </c>
      <c r="K33" s="44">
        <f t="shared" si="7"/>
        <v>174420.47234001048</v>
      </c>
      <c r="L33" s="44">
        <f t="shared" si="8"/>
        <v>174420.47234001048</v>
      </c>
      <c r="M33" s="44">
        <f t="shared" si="8"/>
        <v>174420.47234001048</v>
      </c>
      <c r="N33" s="44">
        <f t="shared" si="8"/>
        <v>174420.47234001048</v>
      </c>
      <c r="O33" s="44">
        <f t="shared" si="9"/>
        <v>174420.47234001048</v>
      </c>
      <c r="P33" s="44">
        <f t="shared" si="10"/>
        <v>174420.47234001048</v>
      </c>
      <c r="Q33" s="44">
        <f t="shared" si="11"/>
        <v>174420.47234001048</v>
      </c>
      <c r="R33" s="44">
        <f t="shared" si="12"/>
        <v>174420.47234001048</v>
      </c>
      <c r="S33" s="44">
        <f t="shared" si="13"/>
        <v>174420.47234001048</v>
      </c>
      <c r="T33" s="48">
        <f t="shared" si="14"/>
        <v>174420.47234001051</v>
      </c>
      <c r="U33" s="48">
        <f t="shared" si="16"/>
        <v>174420.47234001051</v>
      </c>
      <c r="V33" s="48">
        <f t="shared" si="17"/>
        <v>174420.47234001051</v>
      </c>
      <c r="W33" s="48">
        <f t="shared" si="18"/>
        <v>174420.47234001051</v>
      </c>
      <c r="X33" s="48">
        <f t="shared" si="19"/>
        <v>174420.47234001051</v>
      </c>
      <c r="Y33" s="48">
        <f t="shared" si="20"/>
        <v>174420.47234001051</v>
      </c>
      <c r="Z33" s="48">
        <f t="shared" si="21"/>
        <v>200536.48260896149</v>
      </c>
      <c r="AA33" s="48">
        <f t="shared" si="22"/>
        <v>200536.48260896149</v>
      </c>
      <c r="AB33" s="48">
        <f t="shared" si="23"/>
        <v>200536.48260896147</v>
      </c>
      <c r="AC33" s="48">
        <f t="shared" si="24"/>
        <v>200536.48260896149</v>
      </c>
      <c r="AD33" s="48">
        <f t="shared" si="25"/>
        <v>200536.48260896149</v>
      </c>
      <c r="AE33" s="48">
        <f t="shared" si="26"/>
        <v>200536.48260896149</v>
      </c>
      <c r="AF33" s="48">
        <f t="shared" si="27"/>
        <v>200536.48260896149</v>
      </c>
      <c r="AG33" s="48">
        <f t="shared" si="28"/>
        <v>200536.48260896149</v>
      </c>
      <c r="AH33" s="48">
        <f t="shared" si="29"/>
        <v>200536.48260896149</v>
      </c>
      <c r="AI33" s="48">
        <f t="shared" si="30"/>
        <v>200536.48260896149</v>
      </c>
      <c r="AJ33" s="48">
        <f t="shared" si="31"/>
        <v>200536.48260896149</v>
      </c>
      <c r="AK33" s="48">
        <f t="shared" si="32"/>
        <v>200536.48260896149</v>
      </c>
    </row>
    <row r="34" spans="1:37" x14ac:dyDescent="0.2">
      <c r="A34" s="63">
        <v>1977</v>
      </c>
      <c r="B34" s="63">
        <v>4</v>
      </c>
      <c r="C34" s="44">
        <f>'sec95'!AK34/'sec95'!AK35*C35</f>
        <v>175675.21242598782</v>
      </c>
      <c r="D34" s="44">
        <f t="shared" si="0"/>
        <v>175906.75145252622</v>
      </c>
      <c r="E34" s="44">
        <f t="shared" si="1"/>
        <v>175906.75145252622</v>
      </c>
      <c r="F34" s="44">
        <f t="shared" si="2"/>
        <v>175906.75145252622</v>
      </c>
      <c r="G34" s="44">
        <f t="shared" si="3"/>
        <v>175906.75145252622</v>
      </c>
      <c r="H34" s="44">
        <f t="shared" si="4"/>
        <v>175906.75145252622</v>
      </c>
      <c r="I34" s="44">
        <f t="shared" si="5"/>
        <v>175906.75145252622</v>
      </c>
      <c r="J34" s="44">
        <f t="shared" si="6"/>
        <v>175906.75145252622</v>
      </c>
      <c r="K34" s="44">
        <f t="shared" si="7"/>
        <v>175914.61504210671</v>
      </c>
      <c r="L34" s="44">
        <f t="shared" si="8"/>
        <v>175914.61504210671</v>
      </c>
      <c r="M34" s="44">
        <f t="shared" si="8"/>
        <v>175914.61504210671</v>
      </c>
      <c r="N34" s="44">
        <f t="shared" si="8"/>
        <v>175914.61504210671</v>
      </c>
      <c r="O34" s="44">
        <f t="shared" si="9"/>
        <v>175914.61504210671</v>
      </c>
      <c r="P34" s="44">
        <f t="shared" si="10"/>
        <v>175914.61504210671</v>
      </c>
      <c r="Q34" s="44">
        <f t="shared" si="11"/>
        <v>175914.61504210671</v>
      </c>
      <c r="R34" s="44">
        <f t="shared" si="12"/>
        <v>175914.61504210671</v>
      </c>
      <c r="S34" s="44">
        <f t="shared" si="13"/>
        <v>175914.61504210671</v>
      </c>
      <c r="T34" s="48">
        <f t="shared" si="14"/>
        <v>175914.61504210674</v>
      </c>
      <c r="U34" s="48">
        <f t="shared" si="16"/>
        <v>175914.61504210674</v>
      </c>
      <c r="V34" s="48">
        <f t="shared" si="17"/>
        <v>175914.61504210674</v>
      </c>
      <c r="W34" s="48">
        <f t="shared" si="18"/>
        <v>175914.61504210674</v>
      </c>
      <c r="X34" s="48">
        <f t="shared" si="19"/>
        <v>175914.61504210674</v>
      </c>
      <c r="Y34" s="48">
        <f t="shared" si="20"/>
        <v>175914.61504210674</v>
      </c>
      <c r="Z34" s="48">
        <f t="shared" si="21"/>
        <v>202254.34358006433</v>
      </c>
      <c r="AA34" s="48">
        <f t="shared" si="22"/>
        <v>202254.34358006433</v>
      </c>
      <c r="AB34" s="48">
        <f t="shared" si="23"/>
        <v>202254.34358006431</v>
      </c>
      <c r="AC34" s="48">
        <f t="shared" si="24"/>
        <v>202254.34358006433</v>
      </c>
      <c r="AD34" s="48">
        <f t="shared" si="25"/>
        <v>202254.34358006433</v>
      </c>
      <c r="AE34" s="48">
        <f t="shared" si="26"/>
        <v>202254.34358006433</v>
      </c>
      <c r="AF34" s="48">
        <f t="shared" si="27"/>
        <v>202254.34358006433</v>
      </c>
      <c r="AG34" s="48">
        <f t="shared" si="28"/>
        <v>202254.34358006433</v>
      </c>
      <c r="AH34" s="48">
        <f t="shared" si="29"/>
        <v>202254.34358006433</v>
      </c>
      <c r="AI34" s="48">
        <f t="shared" si="30"/>
        <v>202254.34358006433</v>
      </c>
      <c r="AJ34" s="48">
        <f t="shared" si="31"/>
        <v>202254.34358006433</v>
      </c>
      <c r="AK34" s="48">
        <f t="shared" si="32"/>
        <v>202254.34358006433</v>
      </c>
    </row>
    <row r="35" spans="1:37" x14ac:dyDescent="0.2">
      <c r="A35" s="63">
        <v>1978</v>
      </c>
      <c r="B35" s="63">
        <v>1</v>
      </c>
      <c r="C35" s="44">
        <f>'sec95'!AK35/'sec95'!AK36*C36</f>
        <v>178546.94897831682</v>
      </c>
      <c r="D35" s="44">
        <f t="shared" si="0"/>
        <v>178782.27293886282</v>
      </c>
      <c r="E35" s="44">
        <f t="shared" si="1"/>
        <v>178782.27293886282</v>
      </c>
      <c r="F35" s="44">
        <f t="shared" si="2"/>
        <v>178782.27293886282</v>
      </c>
      <c r="G35" s="44">
        <f t="shared" si="3"/>
        <v>178782.27293886282</v>
      </c>
      <c r="H35" s="44">
        <f t="shared" si="4"/>
        <v>178782.27293886282</v>
      </c>
      <c r="I35" s="44">
        <f t="shared" si="5"/>
        <v>178782.27293886282</v>
      </c>
      <c r="J35" s="44">
        <f t="shared" si="6"/>
        <v>178782.27293886282</v>
      </c>
      <c r="K35" s="44">
        <f t="shared" si="7"/>
        <v>178790.26507337188</v>
      </c>
      <c r="L35" s="44">
        <f t="shared" si="8"/>
        <v>178790.26507337188</v>
      </c>
      <c r="M35" s="44">
        <f t="shared" si="8"/>
        <v>178790.26507337188</v>
      </c>
      <c r="N35" s="44">
        <f t="shared" si="8"/>
        <v>178790.26507337188</v>
      </c>
      <c r="O35" s="44">
        <f t="shared" si="9"/>
        <v>178790.26507337188</v>
      </c>
      <c r="P35" s="44">
        <f t="shared" si="10"/>
        <v>178790.26507337188</v>
      </c>
      <c r="Q35" s="44">
        <f t="shared" si="11"/>
        <v>178790.26507337188</v>
      </c>
      <c r="R35" s="44">
        <f t="shared" si="12"/>
        <v>178790.26507337188</v>
      </c>
      <c r="S35" s="44">
        <f t="shared" si="13"/>
        <v>178790.26507337188</v>
      </c>
      <c r="T35" s="48">
        <f t="shared" si="14"/>
        <v>178790.26507337191</v>
      </c>
      <c r="U35" s="48">
        <f t="shared" si="16"/>
        <v>178790.26507337191</v>
      </c>
      <c r="V35" s="48">
        <f t="shared" si="17"/>
        <v>178790.26507337191</v>
      </c>
      <c r="W35" s="48">
        <f t="shared" si="18"/>
        <v>178790.26507337191</v>
      </c>
      <c r="X35" s="48">
        <f t="shared" si="19"/>
        <v>178790.26507337191</v>
      </c>
      <c r="Y35" s="48">
        <f t="shared" si="20"/>
        <v>178790.26507337191</v>
      </c>
      <c r="Z35" s="48">
        <f t="shared" si="21"/>
        <v>205560.56523367914</v>
      </c>
      <c r="AA35" s="48">
        <f t="shared" si="22"/>
        <v>205560.56523367914</v>
      </c>
      <c r="AB35" s="48">
        <f t="shared" si="23"/>
        <v>205560.56523367911</v>
      </c>
      <c r="AC35" s="48">
        <f t="shared" si="24"/>
        <v>205560.56523367911</v>
      </c>
      <c r="AD35" s="48">
        <f t="shared" si="25"/>
        <v>205560.56523367911</v>
      </c>
      <c r="AE35" s="48">
        <f t="shared" si="26"/>
        <v>205560.56523367911</v>
      </c>
      <c r="AF35" s="48">
        <f t="shared" si="27"/>
        <v>205560.56523367911</v>
      </c>
      <c r="AG35" s="48">
        <f t="shared" si="28"/>
        <v>205560.56523367911</v>
      </c>
      <c r="AH35" s="48">
        <f t="shared" si="29"/>
        <v>205560.56523367911</v>
      </c>
      <c r="AI35" s="48">
        <f t="shared" si="30"/>
        <v>205560.56523367911</v>
      </c>
      <c r="AJ35" s="48">
        <f t="shared" si="31"/>
        <v>205560.56523367911</v>
      </c>
      <c r="AK35" s="48">
        <f t="shared" si="32"/>
        <v>205560.56523367911</v>
      </c>
    </row>
    <row r="36" spans="1:37" x14ac:dyDescent="0.2">
      <c r="A36" s="63">
        <v>1978</v>
      </c>
      <c r="B36" s="63">
        <v>2</v>
      </c>
      <c r="C36" s="44">
        <f>'sec95'!AK36/'sec95'!AK37*C37</f>
        <v>181635.61527021026</v>
      </c>
      <c r="D36" s="44">
        <f t="shared" si="0"/>
        <v>181875.01007704498</v>
      </c>
      <c r="E36" s="44">
        <f t="shared" si="1"/>
        <v>181875.01007704498</v>
      </c>
      <c r="F36" s="44">
        <f t="shared" si="2"/>
        <v>181875.01007704498</v>
      </c>
      <c r="G36" s="44">
        <f t="shared" si="3"/>
        <v>181875.01007704498</v>
      </c>
      <c r="H36" s="44">
        <f t="shared" si="4"/>
        <v>181875.01007704498</v>
      </c>
      <c r="I36" s="44">
        <f t="shared" si="5"/>
        <v>181875.01007704498</v>
      </c>
      <c r="J36" s="44">
        <f t="shared" si="6"/>
        <v>181875.01007704498</v>
      </c>
      <c r="K36" s="44">
        <f t="shared" si="7"/>
        <v>181883.14046671102</v>
      </c>
      <c r="L36" s="44">
        <f t="shared" si="8"/>
        <v>181883.14046671102</v>
      </c>
      <c r="M36" s="44">
        <f t="shared" si="8"/>
        <v>181883.14046671102</v>
      </c>
      <c r="N36" s="44">
        <f t="shared" si="8"/>
        <v>181883.14046671102</v>
      </c>
      <c r="O36" s="44">
        <f t="shared" si="9"/>
        <v>181883.14046671102</v>
      </c>
      <c r="P36" s="44">
        <f t="shared" si="10"/>
        <v>181883.14046671102</v>
      </c>
      <c r="Q36" s="44">
        <f t="shared" si="11"/>
        <v>181883.14046671102</v>
      </c>
      <c r="R36" s="44">
        <f t="shared" si="12"/>
        <v>181883.14046671102</v>
      </c>
      <c r="S36" s="44">
        <f t="shared" si="13"/>
        <v>181883.14046671102</v>
      </c>
      <c r="T36" s="48">
        <f t="shared" si="14"/>
        <v>181883.14046671105</v>
      </c>
      <c r="U36" s="48">
        <f t="shared" si="16"/>
        <v>181883.14046671105</v>
      </c>
      <c r="V36" s="48">
        <f t="shared" si="17"/>
        <v>181883.14046671105</v>
      </c>
      <c r="W36" s="48">
        <f t="shared" si="18"/>
        <v>181883.14046671105</v>
      </c>
      <c r="X36" s="48">
        <f t="shared" si="19"/>
        <v>181883.14046671105</v>
      </c>
      <c r="Y36" s="48">
        <f t="shared" si="20"/>
        <v>181883.14046671105</v>
      </c>
      <c r="Z36" s="48">
        <f t="shared" si="21"/>
        <v>209116.53744386198</v>
      </c>
      <c r="AA36" s="48">
        <f t="shared" si="22"/>
        <v>209116.53744386198</v>
      </c>
      <c r="AB36" s="48">
        <f t="shared" si="23"/>
        <v>209116.53744386195</v>
      </c>
      <c r="AC36" s="48">
        <f t="shared" si="24"/>
        <v>209116.53744386195</v>
      </c>
      <c r="AD36" s="48">
        <f t="shared" si="25"/>
        <v>209116.53744386195</v>
      </c>
      <c r="AE36" s="48">
        <f t="shared" si="26"/>
        <v>209116.53744386195</v>
      </c>
      <c r="AF36" s="48">
        <f t="shared" si="27"/>
        <v>209116.53744386195</v>
      </c>
      <c r="AG36" s="48">
        <f t="shared" si="28"/>
        <v>209116.53744386195</v>
      </c>
      <c r="AH36" s="48">
        <f t="shared" si="29"/>
        <v>209116.53744386195</v>
      </c>
      <c r="AI36" s="48">
        <f t="shared" si="30"/>
        <v>209116.53744386195</v>
      </c>
      <c r="AJ36" s="48">
        <f t="shared" si="31"/>
        <v>209116.53744386195</v>
      </c>
      <c r="AK36" s="48">
        <f t="shared" si="32"/>
        <v>209116.53744386195</v>
      </c>
    </row>
    <row r="37" spans="1:37" x14ac:dyDescent="0.2">
      <c r="A37" s="63">
        <v>1978</v>
      </c>
      <c r="B37" s="63">
        <v>3</v>
      </c>
      <c r="C37" s="44">
        <f>'sec95'!AK37/'sec95'!AK38*C38</f>
        <v>182590.5652348536</v>
      </c>
      <c r="D37" s="44">
        <f t="shared" si="0"/>
        <v>182831.21866083072</v>
      </c>
      <c r="E37" s="44">
        <f t="shared" si="1"/>
        <v>182831.21866083072</v>
      </c>
      <c r="F37" s="44">
        <f t="shared" si="2"/>
        <v>182831.21866083072</v>
      </c>
      <c r="G37" s="44">
        <f t="shared" si="3"/>
        <v>182831.21866083072</v>
      </c>
      <c r="H37" s="44">
        <f t="shared" si="4"/>
        <v>182831.21866083072</v>
      </c>
      <c r="I37" s="44">
        <f t="shared" si="5"/>
        <v>182831.21866083072</v>
      </c>
      <c r="J37" s="44">
        <f t="shared" si="6"/>
        <v>182831.21866083072</v>
      </c>
      <c r="K37" s="44">
        <f t="shared" si="7"/>
        <v>182839.39179605254</v>
      </c>
      <c r="L37" s="44">
        <f t="shared" si="8"/>
        <v>182839.39179605254</v>
      </c>
      <c r="M37" s="44">
        <f t="shared" si="8"/>
        <v>182839.39179605254</v>
      </c>
      <c r="N37" s="44">
        <f t="shared" si="8"/>
        <v>182839.39179605254</v>
      </c>
      <c r="O37" s="44">
        <f t="shared" si="9"/>
        <v>182839.39179605254</v>
      </c>
      <c r="P37" s="44">
        <f t="shared" si="10"/>
        <v>182839.39179605254</v>
      </c>
      <c r="Q37" s="44">
        <f t="shared" si="11"/>
        <v>182839.39179605254</v>
      </c>
      <c r="R37" s="44">
        <f t="shared" si="12"/>
        <v>182839.39179605254</v>
      </c>
      <c r="S37" s="44">
        <f t="shared" si="13"/>
        <v>182839.39179605254</v>
      </c>
      <c r="T37" s="48">
        <f t="shared" si="14"/>
        <v>182839.39179605257</v>
      </c>
      <c r="U37" s="48">
        <f t="shared" si="16"/>
        <v>182839.39179605257</v>
      </c>
      <c r="V37" s="48">
        <f t="shared" si="17"/>
        <v>182839.39179605257</v>
      </c>
      <c r="W37" s="48">
        <f t="shared" si="18"/>
        <v>182839.39179605257</v>
      </c>
      <c r="X37" s="48">
        <f t="shared" si="19"/>
        <v>182839.39179605257</v>
      </c>
      <c r="Y37" s="48">
        <f t="shared" si="20"/>
        <v>182839.39179605257</v>
      </c>
      <c r="Z37" s="48">
        <f t="shared" si="21"/>
        <v>210215.96846536771</v>
      </c>
      <c r="AA37" s="48">
        <f t="shared" si="22"/>
        <v>210215.96846536768</v>
      </c>
      <c r="AB37" s="48">
        <f t="shared" si="23"/>
        <v>210215.96846536765</v>
      </c>
      <c r="AC37" s="48">
        <f t="shared" si="24"/>
        <v>210215.96846536765</v>
      </c>
      <c r="AD37" s="48">
        <f t="shared" si="25"/>
        <v>210215.96846536765</v>
      </c>
      <c r="AE37" s="48">
        <f t="shared" si="26"/>
        <v>210215.96846536765</v>
      </c>
      <c r="AF37" s="48">
        <f t="shared" si="27"/>
        <v>210215.96846536765</v>
      </c>
      <c r="AG37" s="48">
        <f t="shared" si="28"/>
        <v>210215.96846536765</v>
      </c>
      <c r="AH37" s="48">
        <f t="shared" si="29"/>
        <v>210215.96846536765</v>
      </c>
      <c r="AI37" s="48">
        <f t="shared" si="30"/>
        <v>210215.96846536765</v>
      </c>
      <c r="AJ37" s="48">
        <f t="shared" si="31"/>
        <v>210215.96846536765</v>
      </c>
      <c r="AK37" s="48">
        <f t="shared" si="32"/>
        <v>210215.96846536765</v>
      </c>
    </row>
    <row r="38" spans="1:37" x14ac:dyDescent="0.2">
      <c r="A38" s="63">
        <v>1978</v>
      </c>
      <c r="B38" s="63">
        <v>4</v>
      </c>
      <c r="C38" s="44">
        <f>'sec95'!AK38/'sec95'!AK39*C39</f>
        <v>185372.77522799728</v>
      </c>
      <c r="D38" s="44">
        <f t="shared" si="0"/>
        <v>185617.0955924374</v>
      </c>
      <c r="E38" s="44">
        <f t="shared" si="1"/>
        <v>185617.0955924374</v>
      </c>
      <c r="F38" s="44">
        <f t="shared" si="2"/>
        <v>185617.0955924374</v>
      </c>
      <c r="G38" s="44">
        <f t="shared" si="3"/>
        <v>185617.0955924374</v>
      </c>
      <c r="H38" s="44">
        <f t="shared" si="4"/>
        <v>185617.0955924374</v>
      </c>
      <c r="I38" s="44">
        <f t="shared" si="5"/>
        <v>185617.0955924374</v>
      </c>
      <c r="J38" s="44">
        <f t="shared" si="6"/>
        <v>185617.0955924374</v>
      </c>
      <c r="K38" s="44">
        <f t="shared" si="7"/>
        <v>185625.39326519193</v>
      </c>
      <c r="L38" s="44">
        <f t="shared" si="8"/>
        <v>185625.39326519193</v>
      </c>
      <c r="M38" s="44">
        <f t="shared" si="8"/>
        <v>185625.39326519193</v>
      </c>
      <c r="N38" s="44">
        <f t="shared" si="8"/>
        <v>185625.39326519193</v>
      </c>
      <c r="O38" s="44">
        <f t="shared" si="9"/>
        <v>185625.39326519193</v>
      </c>
      <c r="P38" s="44">
        <f t="shared" si="10"/>
        <v>185625.39326519193</v>
      </c>
      <c r="Q38" s="44">
        <f t="shared" si="11"/>
        <v>185625.39326519193</v>
      </c>
      <c r="R38" s="44">
        <f t="shared" si="12"/>
        <v>185625.39326519193</v>
      </c>
      <c r="S38" s="44">
        <f t="shared" si="13"/>
        <v>185625.39326519193</v>
      </c>
      <c r="T38" s="48">
        <f t="shared" si="14"/>
        <v>185625.39326519196</v>
      </c>
      <c r="U38" s="48">
        <f t="shared" si="16"/>
        <v>185625.39326519196</v>
      </c>
      <c r="V38" s="48">
        <f t="shared" si="17"/>
        <v>185625.39326519196</v>
      </c>
      <c r="W38" s="48">
        <f t="shared" si="18"/>
        <v>185625.39326519196</v>
      </c>
      <c r="X38" s="48">
        <f t="shared" si="19"/>
        <v>185625.39326519196</v>
      </c>
      <c r="Y38" s="48">
        <f t="shared" si="20"/>
        <v>185625.39326519196</v>
      </c>
      <c r="Z38" s="48">
        <f t="shared" si="21"/>
        <v>213419.11846071636</v>
      </c>
      <c r="AA38" s="48">
        <f t="shared" si="22"/>
        <v>213419.11846071633</v>
      </c>
      <c r="AB38" s="48">
        <f t="shared" si="23"/>
        <v>213419.1184607163</v>
      </c>
      <c r="AC38" s="48">
        <f t="shared" si="24"/>
        <v>213419.1184607163</v>
      </c>
      <c r="AD38" s="48">
        <f t="shared" si="25"/>
        <v>213419.1184607163</v>
      </c>
      <c r="AE38" s="48">
        <f t="shared" si="26"/>
        <v>213419.1184607163</v>
      </c>
      <c r="AF38" s="48">
        <f t="shared" si="27"/>
        <v>213419.1184607163</v>
      </c>
      <c r="AG38" s="48">
        <f t="shared" si="28"/>
        <v>213419.1184607163</v>
      </c>
      <c r="AH38" s="48">
        <f t="shared" si="29"/>
        <v>213419.1184607163</v>
      </c>
      <c r="AI38" s="48">
        <f t="shared" si="30"/>
        <v>213419.1184607163</v>
      </c>
      <c r="AJ38" s="48">
        <f t="shared" si="31"/>
        <v>213419.1184607163</v>
      </c>
      <c r="AK38" s="48">
        <f t="shared" si="32"/>
        <v>213419.1184607163</v>
      </c>
    </row>
    <row r="39" spans="1:37" x14ac:dyDescent="0.2">
      <c r="A39" s="63">
        <v>1979</v>
      </c>
      <c r="B39" s="63">
        <v>1</v>
      </c>
      <c r="C39" s="44">
        <f>'sec95'!AK39/'sec95'!AK40*C40</f>
        <v>188301.90060031691</v>
      </c>
      <c r="D39" s="44">
        <f t="shared" si="0"/>
        <v>188550.08153693422</v>
      </c>
      <c r="E39" s="44">
        <f t="shared" si="1"/>
        <v>188550.08153693422</v>
      </c>
      <c r="F39" s="44">
        <f t="shared" si="2"/>
        <v>188550.08153693422</v>
      </c>
      <c r="G39" s="44">
        <f t="shared" si="3"/>
        <v>188550.08153693422</v>
      </c>
      <c r="H39" s="44">
        <f t="shared" si="4"/>
        <v>188550.08153693422</v>
      </c>
      <c r="I39" s="44">
        <f t="shared" si="5"/>
        <v>188550.08153693422</v>
      </c>
      <c r="J39" s="44">
        <f t="shared" si="6"/>
        <v>188550.08153693422</v>
      </c>
      <c r="K39" s="44">
        <f t="shared" si="7"/>
        <v>188558.51032346083</v>
      </c>
      <c r="L39" s="44">
        <f t="shared" si="8"/>
        <v>188558.51032346083</v>
      </c>
      <c r="M39" s="44">
        <f t="shared" si="8"/>
        <v>188558.51032346083</v>
      </c>
      <c r="N39" s="44">
        <f t="shared" si="8"/>
        <v>188558.51032346083</v>
      </c>
      <c r="O39" s="44">
        <f t="shared" si="9"/>
        <v>188558.51032346083</v>
      </c>
      <c r="P39" s="44">
        <f t="shared" si="10"/>
        <v>188558.51032346083</v>
      </c>
      <c r="Q39" s="44">
        <f t="shared" si="11"/>
        <v>188558.51032346083</v>
      </c>
      <c r="R39" s="44">
        <f t="shared" si="12"/>
        <v>188558.51032346083</v>
      </c>
      <c r="S39" s="44">
        <f t="shared" si="13"/>
        <v>188558.51032346083</v>
      </c>
      <c r="T39" s="48">
        <f t="shared" si="14"/>
        <v>188558.51032346088</v>
      </c>
      <c r="U39" s="48">
        <f t="shared" si="16"/>
        <v>188558.51032346088</v>
      </c>
      <c r="V39" s="48">
        <f t="shared" si="17"/>
        <v>188558.51032346088</v>
      </c>
      <c r="W39" s="48">
        <f t="shared" si="18"/>
        <v>188558.51032346088</v>
      </c>
      <c r="X39" s="48">
        <f t="shared" si="19"/>
        <v>188558.51032346088</v>
      </c>
      <c r="Y39" s="48">
        <f t="shared" si="20"/>
        <v>188558.51032346088</v>
      </c>
      <c r="Z39" s="48">
        <f t="shared" si="21"/>
        <v>216791.41169014288</v>
      </c>
      <c r="AA39" s="48">
        <f t="shared" si="22"/>
        <v>216791.41169014285</v>
      </c>
      <c r="AB39" s="48">
        <f t="shared" si="23"/>
        <v>216791.41169014279</v>
      </c>
      <c r="AC39" s="48">
        <f t="shared" si="24"/>
        <v>216791.41169014279</v>
      </c>
      <c r="AD39" s="48">
        <f t="shared" si="25"/>
        <v>216791.41169014279</v>
      </c>
      <c r="AE39" s="48">
        <f t="shared" si="26"/>
        <v>216791.41169014279</v>
      </c>
      <c r="AF39" s="48">
        <f t="shared" si="27"/>
        <v>216791.41169014279</v>
      </c>
      <c r="AG39" s="48">
        <f t="shared" si="28"/>
        <v>216791.41169014279</v>
      </c>
      <c r="AH39" s="48">
        <f t="shared" si="29"/>
        <v>216791.41169014279</v>
      </c>
      <c r="AI39" s="48">
        <f t="shared" si="30"/>
        <v>216791.41169014279</v>
      </c>
      <c r="AJ39" s="48">
        <f t="shared" si="31"/>
        <v>216791.41169014279</v>
      </c>
      <c r="AK39" s="48">
        <f t="shared" si="32"/>
        <v>216791.41169014279</v>
      </c>
    </row>
    <row r="40" spans="1:37" x14ac:dyDescent="0.2">
      <c r="A40" s="63">
        <v>1979</v>
      </c>
      <c r="B40" s="63">
        <v>2</v>
      </c>
      <c r="C40" s="44">
        <f>'sec95'!AK40/'sec95'!AK41*C41</f>
        <v>189671.19784529231</v>
      </c>
      <c r="D40" s="44">
        <f t="shared" si="0"/>
        <v>189921.18350863666</v>
      </c>
      <c r="E40" s="44">
        <f t="shared" si="1"/>
        <v>189921.18350863666</v>
      </c>
      <c r="F40" s="44">
        <f t="shared" si="2"/>
        <v>189921.18350863666</v>
      </c>
      <c r="G40" s="44">
        <f t="shared" si="3"/>
        <v>189921.18350863666</v>
      </c>
      <c r="H40" s="44">
        <f t="shared" si="4"/>
        <v>189921.18350863666</v>
      </c>
      <c r="I40" s="44">
        <f t="shared" si="5"/>
        <v>189921.18350863666</v>
      </c>
      <c r="J40" s="44">
        <f t="shared" si="6"/>
        <v>189921.18350863666</v>
      </c>
      <c r="K40" s="44">
        <f t="shared" si="7"/>
        <v>189929.6735877691</v>
      </c>
      <c r="L40" s="44">
        <f t="shared" si="8"/>
        <v>189929.6735877691</v>
      </c>
      <c r="M40" s="44">
        <f t="shared" si="8"/>
        <v>189929.6735877691</v>
      </c>
      <c r="N40" s="44">
        <f t="shared" si="8"/>
        <v>189929.6735877691</v>
      </c>
      <c r="O40" s="44">
        <f t="shared" si="9"/>
        <v>189929.6735877691</v>
      </c>
      <c r="P40" s="44">
        <f t="shared" si="10"/>
        <v>189929.6735877691</v>
      </c>
      <c r="Q40" s="44">
        <f t="shared" si="11"/>
        <v>189929.6735877691</v>
      </c>
      <c r="R40" s="44">
        <f t="shared" si="12"/>
        <v>189929.6735877691</v>
      </c>
      <c r="S40" s="44">
        <f t="shared" si="13"/>
        <v>189929.6735877691</v>
      </c>
      <c r="T40" s="48">
        <f t="shared" si="14"/>
        <v>189929.67358776915</v>
      </c>
      <c r="U40" s="48">
        <f t="shared" si="16"/>
        <v>189929.67358776915</v>
      </c>
      <c r="V40" s="48">
        <f t="shared" si="17"/>
        <v>189929.67358776915</v>
      </c>
      <c r="W40" s="48">
        <f t="shared" si="18"/>
        <v>189929.67358776915</v>
      </c>
      <c r="X40" s="48">
        <f t="shared" si="19"/>
        <v>189929.67358776915</v>
      </c>
      <c r="Y40" s="48">
        <f t="shared" si="20"/>
        <v>189929.67358776915</v>
      </c>
      <c r="Z40" s="48">
        <f t="shared" si="21"/>
        <v>218367.87948900874</v>
      </c>
      <c r="AA40" s="48">
        <f t="shared" si="22"/>
        <v>218367.87948900872</v>
      </c>
      <c r="AB40" s="48">
        <f t="shared" si="23"/>
        <v>218367.87948900866</v>
      </c>
      <c r="AC40" s="48">
        <f t="shared" si="24"/>
        <v>218367.87948900866</v>
      </c>
      <c r="AD40" s="48">
        <f t="shared" si="25"/>
        <v>218367.87948900866</v>
      </c>
      <c r="AE40" s="48">
        <f t="shared" si="26"/>
        <v>218367.87948900866</v>
      </c>
      <c r="AF40" s="48">
        <f t="shared" si="27"/>
        <v>218367.87948900866</v>
      </c>
      <c r="AG40" s="48">
        <f t="shared" si="28"/>
        <v>218367.87948900866</v>
      </c>
      <c r="AH40" s="48">
        <f t="shared" si="29"/>
        <v>218367.87948900866</v>
      </c>
      <c r="AI40" s="48">
        <f t="shared" si="30"/>
        <v>218367.87948900866</v>
      </c>
      <c r="AJ40" s="48">
        <f t="shared" si="31"/>
        <v>218367.87948900866</v>
      </c>
      <c r="AK40" s="48">
        <f t="shared" si="32"/>
        <v>218367.87948900866</v>
      </c>
    </row>
    <row r="41" spans="1:37" x14ac:dyDescent="0.2">
      <c r="A41" s="63">
        <v>1979</v>
      </c>
      <c r="B41" s="63">
        <v>3</v>
      </c>
      <c r="C41" s="44">
        <f>'sec95'!AK41/'sec95'!AK42*C42</f>
        <v>192953.8383487539</v>
      </c>
      <c r="D41" s="44">
        <f t="shared" si="0"/>
        <v>193208.15051540028</v>
      </c>
      <c r="E41" s="44">
        <f t="shared" si="1"/>
        <v>193208.15051540028</v>
      </c>
      <c r="F41" s="44">
        <f t="shared" si="2"/>
        <v>193208.15051540028</v>
      </c>
      <c r="G41" s="44">
        <f t="shared" si="3"/>
        <v>193208.15051540028</v>
      </c>
      <c r="H41" s="44">
        <f t="shared" si="4"/>
        <v>193208.15051540028</v>
      </c>
      <c r="I41" s="44">
        <f t="shared" si="5"/>
        <v>193208.15051540028</v>
      </c>
      <c r="J41" s="44">
        <f t="shared" si="6"/>
        <v>193208.15051540028</v>
      </c>
      <c r="K41" s="44">
        <f t="shared" si="7"/>
        <v>193216.78753238069</v>
      </c>
      <c r="L41" s="44">
        <f t="shared" si="8"/>
        <v>193216.78753238069</v>
      </c>
      <c r="M41" s="44">
        <f t="shared" si="8"/>
        <v>193216.78753238069</v>
      </c>
      <c r="N41" s="44">
        <f t="shared" si="8"/>
        <v>193216.78753238069</v>
      </c>
      <c r="O41" s="44">
        <f t="shared" si="9"/>
        <v>193216.78753238069</v>
      </c>
      <c r="P41" s="44">
        <f t="shared" si="10"/>
        <v>193216.78753238069</v>
      </c>
      <c r="Q41" s="44">
        <f t="shared" si="11"/>
        <v>193216.78753238069</v>
      </c>
      <c r="R41" s="44">
        <f t="shared" si="12"/>
        <v>193216.78753238069</v>
      </c>
      <c r="S41" s="44">
        <f t="shared" si="13"/>
        <v>193216.78753238069</v>
      </c>
      <c r="T41" s="48">
        <f t="shared" si="14"/>
        <v>193216.78753238072</v>
      </c>
      <c r="U41" s="48">
        <f t="shared" si="16"/>
        <v>193216.78753238072</v>
      </c>
      <c r="V41" s="48">
        <f t="shared" si="17"/>
        <v>193216.78753238072</v>
      </c>
      <c r="W41" s="48">
        <f t="shared" si="18"/>
        <v>193216.78753238072</v>
      </c>
      <c r="X41" s="48">
        <f t="shared" si="19"/>
        <v>193216.78753238072</v>
      </c>
      <c r="Y41" s="48">
        <f t="shared" si="20"/>
        <v>193216.78753238072</v>
      </c>
      <c r="Z41" s="48">
        <f t="shared" si="21"/>
        <v>222147.17362543484</v>
      </c>
      <c r="AA41" s="48">
        <f t="shared" si="22"/>
        <v>222147.17362543481</v>
      </c>
      <c r="AB41" s="48">
        <f t="shared" si="23"/>
        <v>222147.17362543475</v>
      </c>
      <c r="AC41" s="48">
        <f t="shared" si="24"/>
        <v>222147.17362543475</v>
      </c>
      <c r="AD41" s="48">
        <f t="shared" si="25"/>
        <v>222147.17362543475</v>
      </c>
      <c r="AE41" s="48">
        <f t="shared" si="26"/>
        <v>222147.17362543475</v>
      </c>
      <c r="AF41" s="48">
        <f t="shared" si="27"/>
        <v>222147.17362543475</v>
      </c>
      <c r="AG41" s="48">
        <f t="shared" si="28"/>
        <v>222147.17362543475</v>
      </c>
      <c r="AH41" s="48">
        <f t="shared" si="29"/>
        <v>222147.17362543475</v>
      </c>
      <c r="AI41" s="48">
        <f t="shared" si="30"/>
        <v>222147.17362543475</v>
      </c>
      <c r="AJ41" s="48">
        <f t="shared" si="31"/>
        <v>222147.17362543475</v>
      </c>
      <c r="AK41" s="48">
        <f t="shared" si="32"/>
        <v>222147.17362543475</v>
      </c>
    </row>
    <row r="42" spans="1:37" x14ac:dyDescent="0.2">
      <c r="A42" s="63">
        <v>1979</v>
      </c>
      <c r="B42" s="63">
        <v>4</v>
      </c>
      <c r="C42" s="44">
        <f>'sec95'!AK42/'sec95'!AK43*C43</f>
        <v>197495.58956280901</v>
      </c>
      <c r="D42" s="44">
        <f t="shared" si="0"/>
        <v>197755.8877341988</v>
      </c>
      <c r="E42" s="44">
        <f t="shared" si="1"/>
        <v>197755.8877341988</v>
      </c>
      <c r="F42" s="44">
        <f t="shared" si="2"/>
        <v>197755.8877341988</v>
      </c>
      <c r="G42" s="44">
        <f t="shared" si="3"/>
        <v>197755.8877341988</v>
      </c>
      <c r="H42" s="44">
        <f t="shared" si="4"/>
        <v>197755.8877341988</v>
      </c>
      <c r="I42" s="44">
        <f t="shared" si="5"/>
        <v>197755.8877341988</v>
      </c>
      <c r="J42" s="44">
        <f t="shared" si="6"/>
        <v>197755.8877341988</v>
      </c>
      <c r="K42" s="44">
        <f t="shared" si="7"/>
        <v>197764.72804945352</v>
      </c>
      <c r="L42" s="44">
        <f t="shared" si="8"/>
        <v>197764.72804945352</v>
      </c>
      <c r="M42" s="44">
        <f t="shared" si="8"/>
        <v>197764.72804945352</v>
      </c>
      <c r="N42" s="44">
        <f t="shared" si="8"/>
        <v>197764.72804945352</v>
      </c>
      <c r="O42" s="44">
        <f t="shared" si="9"/>
        <v>197764.72804945352</v>
      </c>
      <c r="P42" s="44">
        <f t="shared" si="10"/>
        <v>197764.72804945352</v>
      </c>
      <c r="Q42" s="44">
        <f t="shared" si="11"/>
        <v>197764.72804945352</v>
      </c>
      <c r="R42" s="44">
        <f t="shared" si="12"/>
        <v>197764.72804945352</v>
      </c>
      <c r="S42" s="44">
        <f t="shared" si="13"/>
        <v>197764.72804945352</v>
      </c>
      <c r="T42" s="48">
        <f t="shared" si="14"/>
        <v>197764.72804945355</v>
      </c>
      <c r="U42" s="48">
        <f t="shared" si="16"/>
        <v>197764.72804945355</v>
      </c>
      <c r="V42" s="48">
        <f t="shared" si="17"/>
        <v>197764.72804945355</v>
      </c>
      <c r="W42" s="48">
        <f t="shared" si="18"/>
        <v>197764.72804945355</v>
      </c>
      <c r="X42" s="48">
        <f t="shared" si="19"/>
        <v>197764.72804945355</v>
      </c>
      <c r="Y42" s="48">
        <f t="shared" si="20"/>
        <v>197764.72804945355</v>
      </c>
      <c r="Z42" s="48">
        <f t="shared" si="21"/>
        <v>227376.07813516856</v>
      </c>
      <c r="AA42" s="48">
        <f t="shared" si="22"/>
        <v>227376.07813516853</v>
      </c>
      <c r="AB42" s="48">
        <f t="shared" si="23"/>
        <v>227376.07813516847</v>
      </c>
      <c r="AC42" s="48">
        <f t="shared" si="24"/>
        <v>227376.07813516847</v>
      </c>
      <c r="AD42" s="48">
        <f t="shared" si="25"/>
        <v>227376.07813516847</v>
      </c>
      <c r="AE42" s="48">
        <f t="shared" si="26"/>
        <v>227376.07813516847</v>
      </c>
      <c r="AF42" s="48">
        <f t="shared" si="27"/>
        <v>227376.07813516847</v>
      </c>
      <c r="AG42" s="48">
        <f t="shared" si="28"/>
        <v>227376.07813516847</v>
      </c>
      <c r="AH42" s="48">
        <f t="shared" si="29"/>
        <v>227376.07813516847</v>
      </c>
      <c r="AI42" s="48">
        <f t="shared" si="30"/>
        <v>227376.07813516847</v>
      </c>
      <c r="AJ42" s="48">
        <f t="shared" si="31"/>
        <v>227376.07813516847</v>
      </c>
      <c r="AK42" s="48">
        <f t="shared" si="32"/>
        <v>227376.07813516847</v>
      </c>
    </row>
    <row r="43" spans="1:37" x14ac:dyDescent="0.2">
      <c r="A43" s="63">
        <v>1980</v>
      </c>
      <c r="B43" s="63">
        <v>1</v>
      </c>
      <c r="C43" s="44">
        <f>'sec95'!AK43/'sec95'!AK44*C44</f>
        <v>198307.06747747594</v>
      </c>
      <c r="D43" s="44">
        <f t="shared" si="0"/>
        <v>198568.43517258411</v>
      </c>
      <c r="E43" s="44">
        <f t="shared" si="1"/>
        <v>198568.43517258411</v>
      </c>
      <c r="F43" s="44">
        <f t="shared" si="2"/>
        <v>198568.43517258411</v>
      </c>
      <c r="G43" s="44">
        <f t="shared" si="3"/>
        <v>198568.43517258411</v>
      </c>
      <c r="H43" s="44">
        <f t="shared" si="4"/>
        <v>198568.43517258411</v>
      </c>
      <c r="I43" s="44">
        <f t="shared" si="5"/>
        <v>198568.43517258411</v>
      </c>
      <c r="J43" s="44">
        <f t="shared" si="6"/>
        <v>198568.43517258411</v>
      </c>
      <c r="K43" s="44">
        <f t="shared" si="7"/>
        <v>198577.31181128588</v>
      </c>
      <c r="L43" s="44">
        <f t="shared" si="8"/>
        <v>198577.31181128588</v>
      </c>
      <c r="M43" s="44">
        <f t="shared" si="8"/>
        <v>198577.31181128588</v>
      </c>
      <c r="N43" s="44">
        <f t="shared" si="8"/>
        <v>198577.31181128588</v>
      </c>
      <c r="O43" s="44">
        <f t="shared" si="9"/>
        <v>198577.31181128588</v>
      </c>
      <c r="P43" s="44">
        <f t="shared" si="10"/>
        <v>198577.31181128588</v>
      </c>
      <c r="Q43" s="44">
        <f t="shared" si="11"/>
        <v>198577.31181128588</v>
      </c>
      <c r="R43" s="44">
        <f t="shared" si="12"/>
        <v>198577.31181128588</v>
      </c>
      <c r="S43" s="44">
        <f t="shared" si="13"/>
        <v>198577.31181128588</v>
      </c>
      <c r="T43" s="48">
        <f t="shared" si="14"/>
        <v>198577.31181128591</v>
      </c>
      <c r="U43" s="48">
        <f t="shared" si="16"/>
        <v>198577.31181128591</v>
      </c>
      <c r="V43" s="48">
        <f t="shared" si="17"/>
        <v>198577.31181128591</v>
      </c>
      <c r="W43" s="48">
        <f t="shared" si="18"/>
        <v>198577.31181128591</v>
      </c>
      <c r="X43" s="48">
        <f t="shared" si="19"/>
        <v>198577.31181128591</v>
      </c>
      <c r="Y43" s="48">
        <f t="shared" si="20"/>
        <v>198577.31181128591</v>
      </c>
      <c r="Z43" s="48">
        <f t="shared" si="21"/>
        <v>228310.3302171453</v>
      </c>
      <c r="AA43" s="48">
        <f t="shared" si="22"/>
        <v>228310.3302171453</v>
      </c>
      <c r="AB43" s="48">
        <f t="shared" si="23"/>
        <v>228310.33021714524</v>
      </c>
      <c r="AC43" s="48">
        <f t="shared" si="24"/>
        <v>228310.33021714524</v>
      </c>
      <c r="AD43" s="48">
        <f t="shared" si="25"/>
        <v>228310.33021714524</v>
      </c>
      <c r="AE43" s="48">
        <f t="shared" si="26"/>
        <v>228310.33021714524</v>
      </c>
      <c r="AF43" s="48">
        <f t="shared" si="27"/>
        <v>228310.33021714524</v>
      </c>
      <c r="AG43" s="48">
        <f t="shared" si="28"/>
        <v>228310.33021714524</v>
      </c>
      <c r="AH43" s="48">
        <f t="shared" si="29"/>
        <v>228310.33021714524</v>
      </c>
      <c r="AI43" s="48">
        <f t="shared" si="30"/>
        <v>228310.33021714524</v>
      </c>
      <c r="AJ43" s="48">
        <f t="shared" si="31"/>
        <v>228310.33021714524</v>
      </c>
      <c r="AK43" s="48">
        <f t="shared" si="32"/>
        <v>228310.33021714524</v>
      </c>
    </row>
    <row r="44" spans="1:37" x14ac:dyDescent="0.2">
      <c r="A44" s="63">
        <v>1980</v>
      </c>
      <c r="B44" s="63">
        <v>2</v>
      </c>
      <c r="C44" s="44">
        <f>'sec95'!AK44/'sec95'!AK45*C45</f>
        <v>199846.09473031407</v>
      </c>
      <c r="D44" s="44">
        <f t="shared" si="0"/>
        <v>200109.49085542676</v>
      </c>
      <c r="E44" s="44">
        <f t="shared" si="1"/>
        <v>200109.49085542676</v>
      </c>
      <c r="F44" s="44">
        <f t="shared" si="2"/>
        <v>200109.49085542676</v>
      </c>
      <c r="G44" s="44">
        <f t="shared" si="3"/>
        <v>200109.49085542676</v>
      </c>
      <c r="H44" s="44">
        <f t="shared" si="4"/>
        <v>200109.49085542676</v>
      </c>
      <c r="I44" s="44">
        <f t="shared" si="5"/>
        <v>200109.49085542676</v>
      </c>
      <c r="J44" s="44">
        <f t="shared" si="6"/>
        <v>200109.49085542676</v>
      </c>
      <c r="K44" s="44">
        <f t="shared" si="7"/>
        <v>200118.43638420416</v>
      </c>
      <c r="L44" s="44">
        <f t="shared" si="8"/>
        <v>200118.43638420416</v>
      </c>
      <c r="M44" s="44">
        <f t="shared" si="8"/>
        <v>200118.43638420416</v>
      </c>
      <c r="N44" s="44">
        <f t="shared" si="8"/>
        <v>200118.43638420416</v>
      </c>
      <c r="O44" s="44">
        <f t="shared" si="9"/>
        <v>200118.43638420416</v>
      </c>
      <c r="P44" s="44">
        <f t="shared" si="10"/>
        <v>200118.43638420416</v>
      </c>
      <c r="Q44" s="44">
        <f t="shared" si="11"/>
        <v>200118.43638420416</v>
      </c>
      <c r="R44" s="44">
        <f t="shared" si="12"/>
        <v>200118.43638420416</v>
      </c>
      <c r="S44" s="44">
        <f t="shared" si="13"/>
        <v>200118.43638420416</v>
      </c>
      <c r="T44" s="48">
        <f t="shared" si="14"/>
        <v>200118.43638420419</v>
      </c>
      <c r="U44" s="48">
        <f t="shared" si="16"/>
        <v>200118.43638420419</v>
      </c>
      <c r="V44" s="48">
        <f t="shared" si="17"/>
        <v>200118.43638420419</v>
      </c>
      <c r="W44" s="48">
        <f t="shared" si="18"/>
        <v>200118.43638420419</v>
      </c>
      <c r="X44" s="48">
        <f t="shared" si="19"/>
        <v>200118.43638420419</v>
      </c>
      <c r="Y44" s="48">
        <f t="shared" si="20"/>
        <v>200118.43638420419</v>
      </c>
      <c r="Z44" s="48">
        <f t="shared" si="21"/>
        <v>230082.20766346258</v>
      </c>
      <c r="AA44" s="48">
        <f t="shared" si="22"/>
        <v>230082.20766346258</v>
      </c>
      <c r="AB44" s="48">
        <f t="shared" si="23"/>
        <v>230082.20766346253</v>
      </c>
      <c r="AC44" s="48">
        <f t="shared" si="24"/>
        <v>230082.20766346253</v>
      </c>
      <c r="AD44" s="48">
        <f t="shared" si="25"/>
        <v>230082.20766346253</v>
      </c>
      <c r="AE44" s="48">
        <f t="shared" si="26"/>
        <v>230082.20766346253</v>
      </c>
      <c r="AF44" s="48">
        <f t="shared" si="27"/>
        <v>230082.20766346253</v>
      </c>
      <c r="AG44" s="48">
        <f t="shared" si="28"/>
        <v>230082.20766346253</v>
      </c>
      <c r="AH44" s="48">
        <f t="shared" si="29"/>
        <v>230082.20766346253</v>
      </c>
      <c r="AI44" s="48">
        <f t="shared" si="30"/>
        <v>230082.20766346253</v>
      </c>
      <c r="AJ44" s="48">
        <f t="shared" si="31"/>
        <v>230082.20766346253</v>
      </c>
      <c r="AK44" s="48">
        <f t="shared" si="32"/>
        <v>230082.20766346253</v>
      </c>
    </row>
    <row r="45" spans="1:37" x14ac:dyDescent="0.2">
      <c r="A45" s="63">
        <v>1980</v>
      </c>
      <c r="B45" s="63">
        <v>3</v>
      </c>
      <c r="C45" s="44">
        <f>'sec95'!AK45/'sec95'!AK46*C46</f>
        <v>200013.50579682682</v>
      </c>
      <c r="D45" s="44">
        <f t="shared" si="0"/>
        <v>200277.12256886426</v>
      </c>
      <c r="E45" s="44">
        <f t="shared" si="1"/>
        <v>200277.12256886426</v>
      </c>
      <c r="F45" s="44">
        <f t="shared" si="2"/>
        <v>200277.12256886426</v>
      </c>
      <c r="G45" s="44">
        <f t="shared" si="3"/>
        <v>200277.12256886426</v>
      </c>
      <c r="H45" s="44">
        <f t="shared" si="4"/>
        <v>200277.12256886426</v>
      </c>
      <c r="I45" s="44">
        <f t="shared" si="5"/>
        <v>200277.12256886426</v>
      </c>
      <c r="J45" s="44">
        <f t="shared" si="6"/>
        <v>200277.12256886426</v>
      </c>
      <c r="K45" s="44">
        <f t="shared" si="7"/>
        <v>200286.0755913108</v>
      </c>
      <c r="L45" s="44">
        <f t="shared" si="8"/>
        <v>200286.0755913108</v>
      </c>
      <c r="M45" s="44">
        <f t="shared" si="8"/>
        <v>200286.0755913108</v>
      </c>
      <c r="N45" s="44">
        <f t="shared" si="8"/>
        <v>200286.0755913108</v>
      </c>
      <c r="O45" s="44">
        <f t="shared" si="9"/>
        <v>200286.0755913108</v>
      </c>
      <c r="P45" s="44">
        <f t="shared" si="10"/>
        <v>200286.0755913108</v>
      </c>
      <c r="Q45" s="44">
        <f t="shared" si="11"/>
        <v>200286.0755913108</v>
      </c>
      <c r="R45" s="44">
        <f t="shared" si="12"/>
        <v>200286.0755913108</v>
      </c>
      <c r="S45" s="44">
        <f t="shared" si="13"/>
        <v>200286.0755913108</v>
      </c>
      <c r="T45" s="48">
        <f t="shared" si="14"/>
        <v>200286.07559131083</v>
      </c>
      <c r="U45" s="48">
        <f t="shared" si="16"/>
        <v>200286.07559131083</v>
      </c>
      <c r="V45" s="48">
        <f t="shared" si="17"/>
        <v>200286.07559131083</v>
      </c>
      <c r="W45" s="48">
        <f t="shared" si="18"/>
        <v>200286.07559131083</v>
      </c>
      <c r="X45" s="48">
        <f t="shared" si="19"/>
        <v>200286.07559131083</v>
      </c>
      <c r="Y45" s="48">
        <f t="shared" si="20"/>
        <v>200286.07559131083</v>
      </c>
      <c r="Z45" s="48">
        <f t="shared" si="21"/>
        <v>230274.94752071387</v>
      </c>
      <c r="AA45" s="48">
        <f t="shared" si="22"/>
        <v>230274.94752071387</v>
      </c>
      <c r="AB45" s="48">
        <f t="shared" si="23"/>
        <v>230274.94752071382</v>
      </c>
      <c r="AC45" s="48">
        <f t="shared" si="24"/>
        <v>230274.94752071382</v>
      </c>
      <c r="AD45" s="48">
        <f t="shared" si="25"/>
        <v>230274.94752071382</v>
      </c>
      <c r="AE45" s="48">
        <f t="shared" si="26"/>
        <v>230274.94752071382</v>
      </c>
      <c r="AF45" s="48">
        <f t="shared" si="27"/>
        <v>230274.94752071382</v>
      </c>
      <c r="AG45" s="48">
        <f t="shared" si="28"/>
        <v>230274.94752071382</v>
      </c>
      <c r="AH45" s="48">
        <f t="shared" si="29"/>
        <v>230274.94752071382</v>
      </c>
      <c r="AI45" s="48">
        <f t="shared" si="30"/>
        <v>230274.94752071382</v>
      </c>
      <c r="AJ45" s="48">
        <f t="shared" si="31"/>
        <v>230274.94752071382</v>
      </c>
      <c r="AK45" s="48">
        <f t="shared" si="32"/>
        <v>230274.94752071382</v>
      </c>
    </row>
    <row r="46" spans="1:37" x14ac:dyDescent="0.2">
      <c r="A46" s="63">
        <v>1980</v>
      </c>
      <c r="B46" s="63">
        <v>4</v>
      </c>
      <c r="C46" s="44">
        <f>'sec95'!AK46/'sec95'!AK47*C47</f>
        <v>201717.63499801891</v>
      </c>
      <c r="D46" s="44">
        <f t="shared" si="0"/>
        <v>201983.49780357975</v>
      </c>
      <c r="E46" s="44">
        <f t="shared" si="1"/>
        <v>201983.49780357975</v>
      </c>
      <c r="F46" s="44">
        <f t="shared" si="2"/>
        <v>201983.49780357975</v>
      </c>
      <c r="G46" s="44">
        <f t="shared" ref="G46:O46" si="33">F46/F47*G47</f>
        <v>201983.49780357975</v>
      </c>
      <c r="H46" s="44">
        <f t="shared" si="33"/>
        <v>201983.49780357975</v>
      </c>
      <c r="I46" s="44">
        <f t="shared" si="33"/>
        <v>201983.49780357975</v>
      </c>
      <c r="J46" s="44">
        <f t="shared" si="33"/>
        <v>201983.49780357975</v>
      </c>
      <c r="K46" s="44">
        <f t="shared" si="33"/>
        <v>201992.5271064101</v>
      </c>
      <c r="L46" s="44">
        <f t="shared" si="33"/>
        <v>201992.5271064101</v>
      </c>
      <c r="M46" s="44">
        <f t="shared" si="33"/>
        <v>201992.5271064101</v>
      </c>
      <c r="N46" s="44">
        <f t="shared" si="33"/>
        <v>201992.5271064101</v>
      </c>
      <c r="O46" s="44">
        <f t="shared" si="33"/>
        <v>201992.5271064101</v>
      </c>
      <c r="P46" s="44">
        <f>O46/O47*P47</f>
        <v>201992.5271064101</v>
      </c>
      <c r="Q46" s="44">
        <f>P46/P47*Q47</f>
        <v>201992.5271064101</v>
      </c>
      <c r="R46" s="44">
        <f>Q46/Q47*R47</f>
        <v>201992.5271064101</v>
      </c>
      <c r="S46" s="44">
        <f>R46/R47*S47</f>
        <v>201992.5271064101</v>
      </c>
      <c r="T46" s="48">
        <f t="shared" si="14"/>
        <v>201992.52710641013</v>
      </c>
      <c r="U46" s="48">
        <f t="shared" si="16"/>
        <v>201992.52710641013</v>
      </c>
      <c r="V46" s="48">
        <f t="shared" si="17"/>
        <v>201992.52710641013</v>
      </c>
      <c r="W46" s="48">
        <f t="shared" si="18"/>
        <v>201992.52710641013</v>
      </c>
      <c r="X46" s="48">
        <f t="shared" si="19"/>
        <v>201992.52710641013</v>
      </c>
      <c r="Y46" s="48">
        <f t="shared" si="20"/>
        <v>201992.52710641013</v>
      </c>
      <c r="Z46" s="48">
        <f t="shared" si="21"/>
        <v>232236.90634349277</v>
      </c>
      <c r="AA46" s="48">
        <f t="shared" si="22"/>
        <v>232236.90634349277</v>
      </c>
      <c r="AB46" s="48">
        <f t="shared" si="23"/>
        <v>232236.90634349271</v>
      </c>
      <c r="AC46" s="48">
        <f t="shared" si="24"/>
        <v>232236.90634349271</v>
      </c>
      <c r="AD46" s="48">
        <f t="shared" si="25"/>
        <v>232236.90634349271</v>
      </c>
      <c r="AE46" s="48">
        <f t="shared" si="26"/>
        <v>232236.90634349271</v>
      </c>
      <c r="AF46" s="48">
        <f t="shared" si="27"/>
        <v>232236.90634349271</v>
      </c>
      <c r="AG46" s="48">
        <f t="shared" si="28"/>
        <v>232236.90634349271</v>
      </c>
      <c r="AH46" s="48">
        <f t="shared" si="29"/>
        <v>232236.90634349271</v>
      </c>
      <c r="AI46" s="48">
        <f t="shared" si="30"/>
        <v>232236.90634349271</v>
      </c>
      <c r="AJ46" s="48">
        <f t="shared" si="31"/>
        <v>232236.90634349271</v>
      </c>
      <c r="AK46" s="48">
        <f t="shared" si="32"/>
        <v>232236.90634349271</v>
      </c>
    </row>
    <row r="47" spans="1:37" x14ac:dyDescent="0.2">
      <c r="A47" s="63">
        <v>1981</v>
      </c>
      <c r="B47" s="63">
        <v>1</v>
      </c>
      <c r="C47" s="49">
        <v>201063</v>
      </c>
      <c r="D47" s="49">
        <v>201328</v>
      </c>
      <c r="E47" s="49">
        <v>201328</v>
      </c>
      <c r="F47" s="49">
        <v>201328</v>
      </c>
      <c r="G47" s="49">
        <v>201328</v>
      </c>
      <c r="H47" s="49">
        <v>201328</v>
      </c>
      <c r="I47" s="49">
        <v>201328</v>
      </c>
      <c r="J47" s="49">
        <v>201328</v>
      </c>
      <c r="K47" s="49">
        <v>201337</v>
      </c>
      <c r="L47" s="49">
        <v>201337</v>
      </c>
      <c r="M47" s="49">
        <v>201337</v>
      </c>
      <c r="N47" s="49">
        <v>201337</v>
      </c>
      <c r="O47" s="49">
        <v>201337</v>
      </c>
      <c r="P47" s="49">
        <v>201337</v>
      </c>
      <c r="Q47" s="49">
        <f t="shared" ref="Q47:S110" si="34">P47</f>
        <v>201337</v>
      </c>
      <c r="R47" s="49">
        <f t="shared" si="34"/>
        <v>201337</v>
      </c>
      <c r="S47" s="49">
        <f t="shared" si="34"/>
        <v>201337</v>
      </c>
      <c r="T47" s="48">
        <f t="shared" si="14"/>
        <v>201337</v>
      </c>
      <c r="U47" s="48">
        <f t="shared" si="16"/>
        <v>201337</v>
      </c>
      <c r="V47" s="48">
        <f t="shared" si="17"/>
        <v>201337</v>
      </c>
      <c r="W47" s="48">
        <f t="shared" si="18"/>
        <v>201337</v>
      </c>
      <c r="X47" s="48">
        <f t="shared" si="19"/>
        <v>201337</v>
      </c>
      <c r="Y47" s="48">
        <f t="shared" si="20"/>
        <v>201337</v>
      </c>
      <c r="Z47" s="48">
        <f t="shared" si="21"/>
        <v>231483.22703962037</v>
      </c>
      <c r="AA47" s="48">
        <f t="shared" si="22"/>
        <v>231483.22703962037</v>
      </c>
      <c r="AB47" s="48">
        <f t="shared" si="23"/>
        <v>231483.22703962031</v>
      </c>
      <c r="AC47" s="48">
        <f t="shared" si="24"/>
        <v>231483.22703962031</v>
      </c>
      <c r="AD47" s="48">
        <f t="shared" si="25"/>
        <v>231483.22703962031</v>
      </c>
      <c r="AE47" s="48">
        <f t="shared" si="26"/>
        <v>231483.22703962031</v>
      </c>
      <c r="AF47" s="48">
        <f t="shared" si="27"/>
        <v>231483.22703962031</v>
      </c>
      <c r="AG47" s="48">
        <f t="shared" si="28"/>
        <v>231483.22703962031</v>
      </c>
      <c r="AH47" s="48">
        <f t="shared" si="29"/>
        <v>231483.22703962031</v>
      </c>
      <c r="AI47" s="48">
        <f t="shared" si="30"/>
        <v>231483.22703962031</v>
      </c>
      <c r="AJ47" s="48">
        <f t="shared" si="31"/>
        <v>231483.22703962031</v>
      </c>
      <c r="AK47" s="48">
        <f t="shared" si="32"/>
        <v>231483.22703962031</v>
      </c>
    </row>
    <row r="48" spans="1:37" x14ac:dyDescent="0.2">
      <c r="A48" s="63">
        <v>1981</v>
      </c>
      <c r="B48" s="63">
        <v>2</v>
      </c>
      <c r="C48" s="49">
        <v>201806</v>
      </c>
      <c r="D48" s="49">
        <v>201683</v>
      </c>
      <c r="E48" s="49">
        <v>201683</v>
      </c>
      <c r="F48" s="49">
        <v>201683</v>
      </c>
      <c r="G48" s="49">
        <v>201683</v>
      </c>
      <c r="H48" s="49">
        <v>201683</v>
      </c>
      <c r="I48" s="49">
        <v>201683</v>
      </c>
      <c r="J48" s="49">
        <v>201683</v>
      </c>
      <c r="K48" s="49">
        <v>201730</v>
      </c>
      <c r="L48" s="49">
        <v>201730</v>
      </c>
      <c r="M48" s="49">
        <v>201730</v>
      </c>
      <c r="N48" s="49">
        <v>201730</v>
      </c>
      <c r="O48" s="49">
        <v>201730</v>
      </c>
      <c r="P48" s="49">
        <v>201730</v>
      </c>
      <c r="Q48" s="49">
        <f t="shared" si="34"/>
        <v>201730</v>
      </c>
      <c r="R48" s="49">
        <f t="shared" si="34"/>
        <v>201730</v>
      </c>
      <c r="S48" s="49">
        <f t="shared" si="34"/>
        <v>201730</v>
      </c>
      <c r="T48" s="48">
        <f t="shared" si="14"/>
        <v>201730</v>
      </c>
      <c r="U48" s="48">
        <f t="shared" si="16"/>
        <v>201730</v>
      </c>
      <c r="V48" s="48">
        <f t="shared" si="17"/>
        <v>201730</v>
      </c>
      <c r="W48" s="48">
        <f t="shared" si="18"/>
        <v>201730</v>
      </c>
      <c r="X48" s="48">
        <f t="shared" si="19"/>
        <v>201730</v>
      </c>
      <c r="Y48" s="48">
        <f t="shared" si="20"/>
        <v>201730</v>
      </c>
      <c r="Z48" s="48">
        <f t="shared" si="21"/>
        <v>231935.07100385232</v>
      </c>
      <c r="AA48" s="48">
        <f t="shared" si="22"/>
        <v>231935.07100385232</v>
      </c>
      <c r="AB48" s="48">
        <f t="shared" si="23"/>
        <v>231935.0710038523</v>
      </c>
      <c r="AC48" s="48">
        <f t="shared" si="24"/>
        <v>231935.0710038523</v>
      </c>
      <c r="AD48" s="48">
        <f t="shared" si="25"/>
        <v>231935.0710038523</v>
      </c>
      <c r="AE48" s="48">
        <f t="shared" si="26"/>
        <v>231935.0710038523</v>
      </c>
      <c r="AF48" s="48">
        <f t="shared" si="27"/>
        <v>231935.0710038523</v>
      </c>
      <c r="AG48" s="48">
        <f t="shared" si="28"/>
        <v>231935.0710038523</v>
      </c>
      <c r="AH48" s="48">
        <f t="shared" si="29"/>
        <v>231935.0710038523</v>
      </c>
      <c r="AI48" s="48">
        <f t="shared" si="30"/>
        <v>231935.0710038523</v>
      </c>
      <c r="AJ48" s="48">
        <f t="shared" si="31"/>
        <v>231935.0710038523</v>
      </c>
      <c r="AK48" s="48">
        <f t="shared" si="32"/>
        <v>231935.0710038523</v>
      </c>
    </row>
    <row r="49" spans="1:37" x14ac:dyDescent="0.2">
      <c r="A49" s="63">
        <v>1981</v>
      </c>
      <c r="B49" s="63">
        <v>3</v>
      </c>
      <c r="C49" s="49">
        <v>201764</v>
      </c>
      <c r="D49" s="49">
        <v>201621</v>
      </c>
      <c r="E49" s="49">
        <v>201621</v>
      </c>
      <c r="F49" s="49">
        <v>201621</v>
      </c>
      <c r="G49" s="49">
        <v>201621</v>
      </c>
      <c r="H49" s="49">
        <v>201621</v>
      </c>
      <c r="I49" s="49">
        <v>201621</v>
      </c>
      <c r="J49" s="49">
        <v>201621</v>
      </c>
      <c r="K49" s="49">
        <v>201824</v>
      </c>
      <c r="L49" s="49">
        <v>201824</v>
      </c>
      <c r="M49" s="49">
        <v>201824</v>
      </c>
      <c r="N49" s="49">
        <v>201824</v>
      </c>
      <c r="O49" s="49">
        <v>201824</v>
      </c>
      <c r="P49" s="49">
        <v>201824</v>
      </c>
      <c r="Q49" s="49">
        <f t="shared" si="34"/>
        <v>201824</v>
      </c>
      <c r="R49" s="49">
        <f t="shared" si="34"/>
        <v>201824</v>
      </c>
      <c r="S49" s="49">
        <f t="shared" si="34"/>
        <v>201824</v>
      </c>
      <c r="T49" s="48">
        <f t="shared" si="14"/>
        <v>201824</v>
      </c>
      <c r="U49" s="48">
        <f t="shared" si="16"/>
        <v>201824</v>
      </c>
      <c r="V49" s="48">
        <f t="shared" si="17"/>
        <v>201824</v>
      </c>
      <c r="W49" s="48">
        <f t="shared" si="18"/>
        <v>201824</v>
      </c>
      <c r="X49" s="48">
        <f t="shared" si="19"/>
        <v>201824</v>
      </c>
      <c r="Y49" s="48">
        <f t="shared" si="20"/>
        <v>201824</v>
      </c>
      <c r="Z49" s="48">
        <f t="shared" si="21"/>
        <v>232043.14564160755</v>
      </c>
      <c r="AA49" s="48">
        <f t="shared" si="22"/>
        <v>232043.14564160752</v>
      </c>
      <c r="AB49" s="48">
        <f t="shared" si="23"/>
        <v>232043.14564160749</v>
      </c>
      <c r="AC49" s="48">
        <f t="shared" si="24"/>
        <v>232043.14564160749</v>
      </c>
      <c r="AD49" s="48">
        <f t="shared" si="25"/>
        <v>232043.14564160749</v>
      </c>
      <c r="AE49" s="48">
        <f t="shared" si="26"/>
        <v>232043.14564160749</v>
      </c>
      <c r="AF49" s="48">
        <f t="shared" si="27"/>
        <v>232043.14564160749</v>
      </c>
      <c r="AG49" s="48">
        <f t="shared" si="28"/>
        <v>232043.14564160749</v>
      </c>
      <c r="AH49" s="48">
        <f t="shared" si="29"/>
        <v>232043.14564160749</v>
      </c>
      <c r="AI49" s="48">
        <f t="shared" si="30"/>
        <v>232043.14564160749</v>
      </c>
      <c r="AJ49" s="48">
        <f t="shared" si="31"/>
        <v>232043.14564160749</v>
      </c>
      <c r="AK49" s="48">
        <f t="shared" si="32"/>
        <v>232043.14564160749</v>
      </c>
    </row>
    <row r="50" spans="1:37" x14ac:dyDescent="0.2">
      <c r="A50" s="63">
        <v>1981</v>
      </c>
      <c r="B50" s="63">
        <v>4</v>
      </c>
      <c r="C50" s="49">
        <v>203408</v>
      </c>
      <c r="D50" s="49">
        <v>203409</v>
      </c>
      <c r="E50" s="49">
        <v>203409</v>
      </c>
      <c r="F50" s="49">
        <v>203409</v>
      </c>
      <c r="G50" s="49">
        <v>203409</v>
      </c>
      <c r="H50" s="49">
        <v>203409</v>
      </c>
      <c r="I50" s="49">
        <v>203409</v>
      </c>
      <c r="J50" s="49">
        <v>203409</v>
      </c>
      <c r="K50" s="49">
        <v>203462</v>
      </c>
      <c r="L50" s="49">
        <v>203462</v>
      </c>
      <c r="M50" s="49">
        <v>203462</v>
      </c>
      <c r="N50" s="49">
        <v>203462</v>
      </c>
      <c r="O50" s="49">
        <v>203462</v>
      </c>
      <c r="P50" s="49">
        <v>203462</v>
      </c>
      <c r="Q50" s="49">
        <f t="shared" si="34"/>
        <v>203462</v>
      </c>
      <c r="R50" s="49">
        <f t="shared" si="34"/>
        <v>203462</v>
      </c>
      <c r="S50" s="49">
        <f t="shared" si="34"/>
        <v>203462</v>
      </c>
      <c r="T50" s="48">
        <f t="shared" si="14"/>
        <v>203462</v>
      </c>
      <c r="U50" s="48">
        <f t="shared" si="16"/>
        <v>203462</v>
      </c>
      <c r="V50" s="48">
        <f t="shared" si="17"/>
        <v>203462</v>
      </c>
      <c r="W50" s="48">
        <f t="shared" si="18"/>
        <v>203462</v>
      </c>
      <c r="X50" s="48">
        <f t="shared" si="19"/>
        <v>203462</v>
      </c>
      <c r="Y50" s="48">
        <f t="shared" si="20"/>
        <v>203462</v>
      </c>
      <c r="Z50" s="48">
        <f t="shared" si="21"/>
        <v>233926.40369100182</v>
      </c>
      <c r="AA50" s="48">
        <f t="shared" si="22"/>
        <v>233926.40369100179</v>
      </c>
      <c r="AB50" s="48">
        <f t="shared" si="23"/>
        <v>233926.40369100176</v>
      </c>
      <c r="AC50" s="48">
        <f t="shared" si="24"/>
        <v>233926.40369100176</v>
      </c>
      <c r="AD50" s="48">
        <f t="shared" si="25"/>
        <v>233926.40369100176</v>
      </c>
      <c r="AE50" s="48">
        <f t="shared" si="26"/>
        <v>233926.40369100176</v>
      </c>
      <c r="AF50" s="48">
        <f t="shared" si="27"/>
        <v>233926.40369100176</v>
      </c>
      <c r="AG50" s="48">
        <f t="shared" si="28"/>
        <v>233926.40369100176</v>
      </c>
      <c r="AH50" s="48">
        <f t="shared" si="29"/>
        <v>233926.40369100176</v>
      </c>
      <c r="AI50" s="48">
        <f t="shared" si="30"/>
        <v>233926.40369100176</v>
      </c>
      <c r="AJ50" s="48">
        <f t="shared" si="31"/>
        <v>233926.40369100176</v>
      </c>
      <c r="AK50" s="48">
        <f t="shared" si="32"/>
        <v>233926.40369100176</v>
      </c>
    </row>
    <row r="51" spans="1:37" x14ac:dyDescent="0.2">
      <c r="A51" s="63">
        <v>1982</v>
      </c>
      <c r="B51" s="63">
        <v>1</v>
      </c>
      <c r="C51" s="49">
        <v>203432</v>
      </c>
      <c r="D51" s="49">
        <v>203252</v>
      </c>
      <c r="E51" s="49">
        <v>203252</v>
      </c>
      <c r="F51" s="49">
        <v>203252</v>
      </c>
      <c r="G51" s="49">
        <v>203252</v>
      </c>
      <c r="H51" s="49">
        <v>203252</v>
      </c>
      <c r="I51" s="49">
        <v>203252</v>
      </c>
      <c r="J51" s="49">
        <v>203252</v>
      </c>
      <c r="K51" s="49">
        <v>203381</v>
      </c>
      <c r="L51" s="49">
        <v>203381</v>
      </c>
      <c r="M51" s="49">
        <v>203381</v>
      </c>
      <c r="N51" s="49">
        <v>203381</v>
      </c>
      <c r="O51" s="49">
        <v>203381</v>
      </c>
      <c r="P51" s="49">
        <v>203381</v>
      </c>
      <c r="Q51" s="49">
        <f t="shared" si="34"/>
        <v>203381</v>
      </c>
      <c r="R51" s="49">
        <f t="shared" si="34"/>
        <v>203381</v>
      </c>
      <c r="S51" s="49">
        <f t="shared" si="34"/>
        <v>203381</v>
      </c>
      <c r="T51" s="48">
        <f t="shared" si="14"/>
        <v>203381</v>
      </c>
      <c r="U51" s="48">
        <f t="shared" si="16"/>
        <v>203381</v>
      </c>
      <c r="V51" s="48">
        <f t="shared" si="17"/>
        <v>203381</v>
      </c>
      <c r="W51" s="48">
        <f t="shared" si="18"/>
        <v>203381</v>
      </c>
      <c r="X51" s="48">
        <f t="shared" si="19"/>
        <v>203381</v>
      </c>
      <c r="Y51" s="48">
        <f t="shared" si="20"/>
        <v>203381</v>
      </c>
      <c r="Z51" s="48">
        <f t="shared" si="21"/>
        <v>233833.27554570211</v>
      </c>
      <c r="AA51" s="48">
        <f t="shared" si="22"/>
        <v>233833.27554570208</v>
      </c>
      <c r="AB51" s="48">
        <f t="shared" si="23"/>
        <v>233833.27554570205</v>
      </c>
      <c r="AC51" s="48">
        <f t="shared" si="24"/>
        <v>233833.27554570205</v>
      </c>
      <c r="AD51" s="48">
        <f t="shared" si="25"/>
        <v>233833.27554570205</v>
      </c>
      <c r="AE51" s="48">
        <f t="shared" si="26"/>
        <v>233833.27554570205</v>
      </c>
      <c r="AF51" s="48">
        <f t="shared" si="27"/>
        <v>233833.27554570205</v>
      </c>
      <c r="AG51" s="48">
        <f t="shared" si="28"/>
        <v>233833.27554570205</v>
      </c>
      <c r="AH51" s="48">
        <f t="shared" si="29"/>
        <v>233833.27554570205</v>
      </c>
      <c r="AI51" s="48">
        <f t="shared" si="30"/>
        <v>233833.27554570205</v>
      </c>
      <c r="AJ51" s="48">
        <f t="shared" si="31"/>
        <v>233833.27554570205</v>
      </c>
      <c r="AK51" s="48">
        <f t="shared" si="32"/>
        <v>233833.27554570205</v>
      </c>
    </row>
    <row r="52" spans="1:37" x14ac:dyDescent="0.2">
      <c r="A52" s="63">
        <v>1982</v>
      </c>
      <c r="B52" s="63">
        <v>2</v>
      </c>
      <c r="C52" s="49">
        <v>202584</v>
      </c>
      <c r="D52" s="49">
        <v>202674</v>
      </c>
      <c r="E52" s="49">
        <v>202674</v>
      </c>
      <c r="F52" s="49">
        <v>202674</v>
      </c>
      <c r="G52" s="49">
        <v>202674</v>
      </c>
      <c r="H52" s="49">
        <v>202674</v>
      </c>
      <c r="I52" s="49">
        <v>202674</v>
      </c>
      <c r="J52" s="49">
        <v>202674</v>
      </c>
      <c r="K52" s="49">
        <v>202803</v>
      </c>
      <c r="L52" s="49">
        <v>202803</v>
      </c>
      <c r="M52" s="49">
        <v>202803</v>
      </c>
      <c r="N52" s="49">
        <v>202803</v>
      </c>
      <c r="O52" s="49">
        <v>202803</v>
      </c>
      <c r="P52" s="49">
        <v>202803</v>
      </c>
      <c r="Q52" s="49">
        <f t="shared" si="34"/>
        <v>202803</v>
      </c>
      <c r="R52" s="49">
        <f t="shared" si="34"/>
        <v>202803</v>
      </c>
      <c r="S52" s="49">
        <f t="shared" si="34"/>
        <v>202803</v>
      </c>
      <c r="T52" s="48">
        <f t="shared" si="14"/>
        <v>202803</v>
      </c>
      <c r="U52" s="48">
        <f t="shared" si="16"/>
        <v>202803</v>
      </c>
      <c r="V52" s="48">
        <f t="shared" si="17"/>
        <v>202803</v>
      </c>
      <c r="W52" s="48">
        <f t="shared" si="18"/>
        <v>202803</v>
      </c>
      <c r="X52" s="48">
        <f t="shared" si="19"/>
        <v>202803</v>
      </c>
      <c r="Y52" s="48">
        <f t="shared" si="20"/>
        <v>202803</v>
      </c>
      <c r="Z52" s="48">
        <f t="shared" si="21"/>
        <v>233168.73149652634</v>
      </c>
      <c r="AA52" s="48">
        <f t="shared" si="22"/>
        <v>233168.73149652631</v>
      </c>
      <c r="AB52" s="48">
        <f t="shared" si="23"/>
        <v>233168.73149652628</v>
      </c>
      <c r="AC52" s="48">
        <f t="shared" si="24"/>
        <v>233168.73149652628</v>
      </c>
      <c r="AD52" s="48">
        <f t="shared" si="25"/>
        <v>233168.73149652628</v>
      </c>
      <c r="AE52" s="48">
        <f t="shared" si="26"/>
        <v>233168.73149652628</v>
      </c>
      <c r="AF52" s="48">
        <f t="shared" si="27"/>
        <v>233168.73149652628</v>
      </c>
      <c r="AG52" s="48">
        <f t="shared" si="28"/>
        <v>233168.73149652628</v>
      </c>
      <c r="AH52" s="48">
        <f t="shared" si="29"/>
        <v>233168.73149652628</v>
      </c>
      <c r="AI52" s="48">
        <f t="shared" si="30"/>
        <v>233168.73149652628</v>
      </c>
      <c r="AJ52" s="48">
        <f t="shared" si="31"/>
        <v>233168.73149652628</v>
      </c>
      <c r="AK52" s="48">
        <f t="shared" si="32"/>
        <v>233168.73149652628</v>
      </c>
    </row>
    <row r="53" spans="1:37" x14ac:dyDescent="0.2">
      <c r="A53" s="63">
        <v>1982</v>
      </c>
      <c r="B53" s="63">
        <v>3</v>
      </c>
      <c r="C53" s="49">
        <v>202530</v>
      </c>
      <c r="D53" s="49">
        <v>202604</v>
      </c>
      <c r="E53" s="49">
        <v>202604</v>
      </c>
      <c r="F53" s="49">
        <v>202604</v>
      </c>
      <c r="G53" s="49">
        <v>202604</v>
      </c>
      <c r="H53" s="49">
        <v>202604</v>
      </c>
      <c r="I53" s="49">
        <v>202604</v>
      </c>
      <c r="J53" s="49">
        <v>202604</v>
      </c>
      <c r="K53" s="49">
        <v>202695</v>
      </c>
      <c r="L53" s="49">
        <v>202695</v>
      </c>
      <c r="M53" s="49">
        <v>202695</v>
      </c>
      <c r="N53" s="49">
        <v>202695</v>
      </c>
      <c r="O53" s="49">
        <v>202695</v>
      </c>
      <c r="P53" s="49">
        <v>202695</v>
      </c>
      <c r="Q53" s="49">
        <f t="shared" si="34"/>
        <v>202695</v>
      </c>
      <c r="R53" s="49">
        <f t="shared" si="34"/>
        <v>202695</v>
      </c>
      <c r="S53" s="49">
        <f t="shared" si="34"/>
        <v>202695</v>
      </c>
      <c r="T53" s="48">
        <f t="shared" si="14"/>
        <v>202695</v>
      </c>
      <c r="U53" s="48">
        <f t="shared" si="16"/>
        <v>202695</v>
      </c>
      <c r="V53" s="48">
        <f t="shared" si="17"/>
        <v>202695</v>
      </c>
      <c r="W53" s="48">
        <f t="shared" si="18"/>
        <v>202695</v>
      </c>
      <c r="X53" s="48">
        <f t="shared" si="19"/>
        <v>202695</v>
      </c>
      <c r="Y53" s="48">
        <f t="shared" si="20"/>
        <v>202695</v>
      </c>
      <c r="Z53" s="48">
        <f t="shared" si="21"/>
        <v>233044.56063612673</v>
      </c>
      <c r="AA53" s="48">
        <f t="shared" si="22"/>
        <v>233044.5606361267</v>
      </c>
      <c r="AB53" s="48">
        <f t="shared" si="23"/>
        <v>233044.56063612667</v>
      </c>
      <c r="AC53" s="48">
        <f t="shared" si="24"/>
        <v>233044.56063612667</v>
      </c>
      <c r="AD53" s="48">
        <f t="shared" si="25"/>
        <v>233044.56063612667</v>
      </c>
      <c r="AE53" s="48">
        <f t="shared" si="26"/>
        <v>233044.56063612667</v>
      </c>
      <c r="AF53" s="48">
        <f t="shared" si="27"/>
        <v>233044.56063612667</v>
      </c>
      <c r="AG53" s="48">
        <f t="shared" si="28"/>
        <v>233044.56063612667</v>
      </c>
      <c r="AH53" s="48">
        <f t="shared" si="29"/>
        <v>233044.56063612667</v>
      </c>
      <c r="AI53" s="48">
        <f t="shared" si="30"/>
        <v>233044.56063612667</v>
      </c>
      <c r="AJ53" s="48">
        <f t="shared" si="31"/>
        <v>233044.56063612667</v>
      </c>
      <c r="AK53" s="48">
        <f t="shared" si="32"/>
        <v>233044.56063612667</v>
      </c>
    </row>
    <row r="54" spans="1:37" x14ac:dyDescent="0.2">
      <c r="A54" s="63">
        <v>1982</v>
      </c>
      <c r="B54" s="63">
        <v>4</v>
      </c>
      <c r="C54" s="49">
        <v>202103</v>
      </c>
      <c r="D54" s="49">
        <v>202119</v>
      </c>
      <c r="E54" s="49">
        <v>202119</v>
      </c>
      <c r="F54" s="49">
        <v>202119</v>
      </c>
      <c r="G54" s="49">
        <v>202119</v>
      </c>
      <c r="H54" s="49">
        <v>202119</v>
      </c>
      <c r="I54" s="49">
        <v>202119</v>
      </c>
      <c r="J54" s="49">
        <v>202119</v>
      </c>
      <c r="K54" s="49">
        <v>202105</v>
      </c>
      <c r="L54" s="49">
        <v>202105</v>
      </c>
      <c r="M54" s="49">
        <v>202105</v>
      </c>
      <c r="N54" s="49">
        <v>202105</v>
      </c>
      <c r="O54" s="49">
        <v>202105</v>
      </c>
      <c r="P54" s="49">
        <v>202105</v>
      </c>
      <c r="Q54" s="49">
        <f t="shared" si="34"/>
        <v>202105</v>
      </c>
      <c r="R54" s="49">
        <f t="shared" si="34"/>
        <v>202105</v>
      </c>
      <c r="S54" s="49">
        <f t="shared" si="34"/>
        <v>202105</v>
      </c>
      <c r="T54" s="48">
        <f t="shared" si="14"/>
        <v>202105</v>
      </c>
      <c r="U54" s="48">
        <f t="shared" si="16"/>
        <v>202105</v>
      </c>
      <c r="V54" s="48">
        <f t="shared" si="17"/>
        <v>202105</v>
      </c>
      <c r="W54" s="48">
        <f t="shared" si="18"/>
        <v>202105</v>
      </c>
      <c r="X54" s="48">
        <f t="shared" si="19"/>
        <v>202105</v>
      </c>
      <c r="Y54" s="48">
        <f t="shared" si="20"/>
        <v>202105</v>
      </c>
      <c r="Z54" s="48">
        <f t="shared" si="21"/>
        <v>232366.21982468435</v>
      </c>
      <c r="AA54" s="48">
        <f t="shared" si="22"/>
        <v>232366.21982468432</v>
      </c>
      <c r="AB54" s="48">
        <f t="shared" si="23"/>
        <v>232366.21982468429</v>
      </c>
      <c r="AC54" s="48">
        <f t="shared" si="24"/>
        <v>232366.21982468429</v>
      </c>
      <c r="AD54" s="48">
        <f t="shared" si="25"/>
        <v>232366.21982468429</v>
      </c>
      <c r="AE54" s="48">
        <f t="shared" si="26"/>
        <v>232366.21982468429</v>
      </c>
      <c r="AF54" s="48">
        <f t="shared" si="27"/>
        <v>232366.21982468429</v>
      </c>
      <c r="AG54" s="48">
        <f t="shared" si="28"/>
        <v>232366.21982468429</v>
      </c>
      <c r="AH54" s="48">
        <f t="shared" si="29"/>
        <v>232366.21982468429</v>
      </c>
      <c r="AI54" s="48">
        <f t="shared" si="30"/>
        <v>232366.21982468429</v>
      </c>
      <c r="AJ54" s="48">
        <f t="shared" si="31"/>
        <v>232366.21982468429</v>
      </c>
      <c r="AK54" s="48">
        <f t="shared" si="32"/>
        <v>232366.21982468429</v>
      </c>
    </row>
    <row r="55" spans="1:37" x14ac:dyDescent="0.2">
      <c r="A55" s="63">
        <v>1983</v>
      </c>
      <c r="B55" s="63">
        <v>1</v>
      </c>
      <c r="C55" s="49">
        <v>202754</v>
      </c>
      <c r="D55" s="49">
        <v>202711</v>
      </c>
      <c r="E55" s="49">
        <v>202711</v>
      </c>
      <c r="F55" s="49">
        <v>202711</v>
      </c>
      <c r="G55" s="49">
        <v>202711</v>
      </c>
      <c r="H55" s="49">
        <v>202711</v>
      </c>
      <c r="I55" s="49">
        <v>202711</v>
      </c>
      <c r="J55" s="49">
        <v>202711</v>
      </c>
      <c r="K55" s="49">
        <v>202671</v>
      </c>
      <c r="L55" s="49">
        <v>202671</v>
      </c>
      <c r="M55" s="49">
        <v>202671</v>
      </c>
      <c r="N55" s="49">
        <v>202671</v>
      </c>
      <c r="O55" s="49">
        <v>202671</v>
      </c>
      <c r="P55" s="49">
        <v>202671</v>
      </c>
      <c r="Q55" s="49">
        <f t="shared" si="34"/>
        <v>202671</v>
      </c>
      <c r="R55" s="49">
        <f t="shared" si="34"/>
        <v>202671</v>
      </c>
      <c r="S55" s="49">
        <f t="shared" si="34"/>
        <v>202671</v>
      </c>
      <c r="T55" s="48">
        <f t="shared" si="14"/>
        <v>202671</v>
      </c>
      <c r="U55" s="48">
        <f t="shared" si="16"/>
        <v>202671</v>
      </c>
      <c r="V55" s="48">
        <f t="shared" si="17"/>
        <v>202671</v>
      </c>
      <c r="W55" s="48">
        <f t="shared" si="18"/>
        <v>202671</v>
      </c>
      <c r="X55" s="48">
        <f t="shared" si="19"/>
        <v>202671</v>
      </c>
      <c r="Y55" s="48">
        <f t="shared" si="20"/>
        <v>202671</v>
      </c>
      <c r="Z55" s="48">
        <f t="shared" si="21"/>
        <v>233016.96711159346</v>
      </c>
      <c r="AA55" s="48">
        <f t="shared" si="22"/>
        <v>233016.96711159343</v>
      </c>
      <c r="AB55" s="48">
        <f t="shared" si="23"/>
        <v>233016.9671115934</v>
      </c>
      <c r="AC55" s="48">
        <f t="shared" si="24"/>
        <v>233016.9671115934</v>
      </c>
      <c r="AD55" s="48">
        <f t="shared" si="25"/>
        <v>233016.9671115934</v>
      </c>
      <c r="AE55" s="48">
        <f t="shared" si="26"/>
        <v>233016.9671115934</v>
      </c>
      <c r="AF55" s="48">
        <f t="shared" si="27"/>
        <v>233016.9671115934</v>
      </c>
      <c r="AG55" s="48">
        <f t="shared" si="28"/>
        <v>233016.9671115934</v>
      </c>
      <c r="AH55" s="48">
        <f t="shared" si="29"/>
        <v>233016.9671115934</v>
      </c>
      <c r="AI55" s="48">
        <f t="shared" si="30"/>
        <v>233016.9671115934</v>
      </c>
      <c r="AJ55" s="48">
        <f t="shared" si="31"/>
        <v>233016.9671115934</v>
      </c>
      <c r="AK55" s="48">
        <f t="shared" si="32"/>
        <v>233016.9671115934</v>
      </c>
    </row>
    <row r="56" spans="1:37" x14ac:dyDescent="0.2">
      <c r="A56" s="63">
        <v>1983</v>
      </c>
      <c r="B56" s="63">
        <v>2</v>
      </c>
      <c r="C56" s="49">
        <v>202384</v>
      </c>
      <c r="D56" s="49">
        <v>202421</v>
      </c>
      <c r="E56" s="49">
        <v>202421</v>
      </c>
      <c r="F56" s="49">
        <v>202421</v>
      </c>
      <c r="G56" s="49">
        <v>202421</v>
      </c>
      <c r="H56" s="49">
        <v>202421</v>
      </c>
      <c r="I56" s="49">
        <v>202421</v>
      </c>
      <c r="J56" s="49">
        <v>202421</v>
      </c>
      <c r="K56" s="49">
        <v>202427</v>
      </c>
      <c r="L56" s="49">
        <v>202427</v>
      </c>
      <c r="M56" s="49">
        <v>202427</v>
      </c>
      <c r="N56" s="49">
        <v>202427</v>
      </c>
      <c r="O56" s="49">
        <v>202427</v>
      </c>
      <c r="P56" s="49">
        <v>202427</v>
      </c>
      <c r="Q56" s="49">
        <f t="shared" si="34"/>
        <v>202427</v>
      </c>
      <c r="R56" s="49">
        <f t="shared" si="34"/>
        <v>202427</v>
      </c>
      <c r="S56" s="49">
        <f t="shared" si="34"/>
        <v>202427</v>
      </c>
      <c r="T56" s="48">
        <f t="shared" si="14"/>
        <v>202427</v>
      </c>
      <c r="U56" s="48">
        <f t="shared" si="16"/>
        <v>202427</v>
      </c>
      <c r="V56" s="48">
        <f t="shared" si="17"/>
        <v>202427</v>
      </c>
      <c r="W56" s="48">
        <f t="shared" si="18"/>
        <v>202427</v>
      </c>
      <c r="X56" s="48">
        <f t="shared" si="19"/>
        <v>202427</v>
      </c>
      <c r="Y56" s="48">
        <f t="shared" si="20"/>
        <v>202427</v>
      </c>
      <c r="Z56" s="48">
        <f t="shared" si="21"/>
        <v>232736.43294550542</v>
      </c>
      <c r="AA56" s="48">
        <f t="shared" si="22"/>
        <v>232736.4329455054</v>
      </c>
      <c r="AB56" s="48">
        <f t="shared" si="23"/>
        <v>232736.4329455054</v>
      </c>
      <c r="AC56" s="48">
        <f t="shared" si="24"/>
        <v>232736.4329455054</v>
      </c>
      <c r="AD56" s="48">
        <f t="shared" si="25"/>
        <v>232736.4329455054</v>
      </c>
      <c r="AE56" s="48">
        <f t="shared" si="26"/>
        <v>232736.4329455054</v>
      </c>
      <c r="AF56" s="48">
        <f t="shared" si="27"/>
        <v>232736.4329455054</v>
      </c>
      <c r="AG56" s="48">
        <f t="shared" si="28"/>
        <v>232736.4329455054</v>
      </c>
      <c r="AH56" s="48">
        <f t="shared" si="29"/>
        <v>232736.4329455054</v>
      </c>
      <c r="AI56" s="48">
        <f t="shared" si="30"/>
        <v>232736.4329455054</v>
      </c>
      <c r="AJ56" s="48">
        <f t="shared" si="31"/>
        <v>232736.4329455054</v>
      </c>
      <c r="AK56" s="48">
        <f t="shared" si="32"/>
        <v>232736.4329455054</v>
      </c>
    </row>
    <row r="57" spans="1:37" x14ac:dyDescent="0.2">
      <c r="A57" s="63">
        <v>1983</v>
      </c>
      <c r="B57" s="63">
        <v>3</v>
      </c>
      <c r="C57" s="49">
        <v>205991</v>
      </c>
      <c r="D57" s="49">
        <v>206033</v>
      </c>
      <c r="E57" s="49">
        <v>206033</v>
      </c>
      <c r="F57" s="49">
        <v>206033</v>
      </c>
      <c r="G57" s="49">
        <v>206033</v>
      </c>
      <c r="H57" s="49">
        <v>206033</v>
      </c>
      <c r="I57" s="49">
        <v>206033</v>
      </c>
      <c r="J57" s="49">
        <v>206033</v>
      </c>
      <c r="K57" s="49">
        <v>206196</v>
      </c>
      <c r="L57" s="49">
        <v>206196</v>
      </c>
      <c r="M57" s="49">
        <v>206196</v>
      </c>
      <c r="N57" s="49">
        <v>206196</v>
      </c>
      <c r="O57" s="49">
        <v>206196</v>
      </c>
      <c r="P57" s="49">
        <v>206196</v>
      </c>
      <c r="Q57" s="49">
        <f t="shared" si="34"/>
        <v>206196</v>
      </c>
      <c r="R57" s="49">
        <f t="shared" si="34"/>
        <v>206196</v>
      </c>
      <c r="S57" s="49">
        <f t="shared" si="34"/>
        <v>206196</v>
      </c>
      <c r="T57" s="48">
        <f t="shared" si="14"/>
        <v>206196</v>
      </c>
      <c r="U57" s="48">
        <f t="shared" si="16"/>
        <v>206196</v>
      </c>
      <c r="V57" s="48">
        <f t="shared" si="17"/>
        <v>206196</v>
      </c>
      <c r="W57" s="48">
        <f t="shared" si="18"/>
        <v>206196</v>
      </c>
      <c r="X57" s="48">
        <f t="shared" si="19"/>
        <v>206196</v>
      </c>
      <c r="Y57" s="48">
        <f t="shared" si="20"/>
        <v>206196</v>
      </c>
      <c r="Z57" s="48">
        <f t="shared" si="21"/>
        <v>237069.76602741453</v>
      </c>
      <c r="AA57" s="48">
        <f t="shared" si="22"/>
        <v>237069.7660274145</v>
      </c>
      <c r="AB57" s="48">
        <f t="shared" si="23"/>
        <v>237069.7660274145</v>
      </c>
      <c r="AC57" s="48">
        <f t="shared" si="24"/>
        <v>237069.7660274145</v>
      </c>
      <c r="AD57" s="48">
        <f t="shared" si="25"/>
        <v>237069.7660274145</v>
      </c>
      <c r="AE57" s="48">
        <f t="shared" si="26"/>
        <v>237069.7660274145</v>
      </c>
      <c r="AF57" s="48">
        <f t="shared" si="27"/>
        <v>237069.7660274145</v>
      </c>
      <c r="AG57" s="48">
        <f t="shared" si="28"/>
        <v>237069.7660274145</v>
      </c>
      <c r="AH57" s="48">
        <f t="shared" si="29"/>
        <v>237069.7660274145</v>
      </c>
      <c r="AI57" s="48">
        <f t="shared" si="30"/>
        <v>237069.7660274145</v>
      </c>
      <c r="AJ57" s="48">
        <f t="shared" si="31"/>
        <v>237069.7660274145</v>
      </c>
      <c r="AK57" s="48">
        <f t="shared" si="32"/>
        <v>237069.7660274145</v>
      </c>
    </row>
    <row r="58" spans="1:37" x14ac:dyDescent="0.2">
      <c r="A58" s="63">
        <v>1983</v>
      </c>
      <c r="B58" s="63">
        <v>4</v>
      </c>
      <c r="C58" s="49">
        <v>210646</v>
      </c>
      <c r="D58" s="49">
        <v>210609</v>
      </c>
      <c r="E58" s="49">
        <v>210609</v>
      </c>
      <c r="F58" s="49">
        <v>210609</v>
      </c>
      <c r="G58" s="49">
        <v>210609</v>
      </c>
      <c r="H58" s="49">
        <v>210609</v>
      </c>
      <c r="I58" s="49">
        <v>210609</v>
      </c>
      <c r="J58" s="49">
        <v>210609</v>
      </c>
      <c r="K58" s="49">
        <v>210767</v>
      </c>
      <c r="L58" s="49">
        <v>210767</v>
      </c>
      <c r="M58" s="49">
        <v>210767</v>
      </c>
      <c r="N58" s="49">
        <v>210767</v>
      </c>
      <c r="O58" s="49">
        <v>210767</v>
      </c>
      <c r="P58" s="49">
        <v>210767</v>
      </c>
      <c r="Q58" s="49">
        <f t="shared" si="34"/>
        <v>210767</v>
      </c>
      <c r="R58" s="49">
        <f t="shared" si="34"/>
        <v>210767</v>
      </c>
      <c r="S58" s="49">
        <f t="shared" si="34"/>
        <v>210767</v>
      </c>
      <c r="T58" s="48">
        <f t="shared" si="14"/>
        <v>210767</v>
      </c>
      <c r="U58" s="48">
        <f t="shared" si="16"/>
        <v>210767</v>
      </c>
      <c r="V58" s="48">
        <f t="shared" si="17"/>
        <v>210767</v>
      </c>
      <c r="W58" s="48">
        <f t="shared" si="18"/>
        <v>210767</v>
      </c>
      <c r="X58" s="48">
        <f t="shared" si="19"/>
        <v>210767</v>
      </c>
      <c r="Y58" s="48">
        <f t="shared" si="20"/>
        <v>210767</v>
      </c>
      <c r="Z58" s="48">
        <f t="shared" si="21"/>
        <v>242325.18272080971</v>
      </c>
      <c r="AA58" s="48">
        <f t="shared" si="22"/>
        <v>242325.18272080968</v>
      </c>
      <c r="AB58" s="48">
        <f t="shared" si="23"/>
        <v>242325.18272080968</v>
      </c>
      <c r="AC58" s="48">
        <f t="shared" si="24"/>
        <v>242325.18272080968</v>
      </c>
      <c r="AD58" s="48">
        <f t="shared" si="25"/>
        <v>242325.18272080968</v>
      </c>
      <c r="AE58" s="48">
        <f t="shared" si="26"/>
        <v>242325.18272080968</v>
      </c>
      <c r="AF58" s="48">
        <f t="shared" si="27"/>
        <v>242325.18272080968</v>
      </c>
      <c r="AG58" s="48">
        <f t="shared" si="28"/>
        <v>242325.18272080968</v>
      </c>
      <c r="AH58" s="48">
        <f t="shared" si="29"/>
        <v>242325.18272080968</v>
      </c>
      <c r="AI58" s="48">
        <f t="shared" si="30"/>
        <v>242325.18272080968</v>
      </c>
      <c r="AJ58" s="48">
        <f t="shared" si="31"/>
        <v>242325.18272080968</v>
      </c>
      <c r="AK58" s="48">
        <f t="shared" si="32"/>
        <v>242325.18272080968</v>
      </c>
    </row>
    <row r="59" spans="1:37" x14ac:dyDescent="0.2">
      <c r="A59" s="63">
        <v>1984</v>
      </c>
      <c r="B59" s="63">
        <v>1</v>
      </c>
      <c r="C59" s="49">
        <v>210336</v>
      </c>
      <c r="D59" s="49">
        <v>210339</v>
      </c>
      <c r="E59" s="49">
        <v>210339</v>
      </c>
      <c r="F59" s="49">
        <v>210339</v>
      </c>
      <c r="G59" s="49">
        <v>210339</v>
      </c>
      <c r="H59" s="49">
        <v>210339</v>
      </c>
      <c r="I59" s="49">
        <v>210339</v>
      </c>
      <c r="J59" s="49">
        <v>210339</v>
      </c>
      <c r="K59" s="49">
        <v>210354</v>
      </c>
      <c r="L59" s="49">
        <v>210354</v>
      </c>
      <c r="M59" s="49">
        <v>210354</v>
      </c>
      <c r="N59" s="49">
        <v>210354</v>
      </c>
      <c r="O59" s="49">
        <v>210354</v>
      </c>
      <c r="P59" s="49">
        <v>210354</v>
      </c>
      <c r="Q59" s="49">
        <f t="shared" si="34"/>
        <v>210354</v>
      </c>
      <c r="R59" s="49">
        <f t="shared" si="34"/>
        <v>210354</v>
      </c>
      <c r="S59" s="49">
        <f t="shared" si="34"/>
        <v>210354</v>
      </c>
      <c r="T59" s="48">
        <f t="shared" si="14"/>
        <v>210354</v>
      </c>
      <c r="U59" s="48">
        <f t="shared" si="16"/>
        <v>210354</v>
      </c>
      <c r="V59" s="48">
        <f t="shared" si="17"/>
        <v>210354</v>
      </c>
      <c r="W59" s="48">
        <f t="shared" si="18"/>
        <v>210354</v>
      </c>
      <c r="X59" s="48">
        <f t="shared" si="19"/>
        <v>210354</v>
      </c>
      <c r="Y59" s="48">
        <f t="shared" si="20"/>
        <v>210354</v>
      </c>
      <c r="Z59" s="48">
        <f t="shared" si="21"/>
        <v>241850.34415280004</v>
      </c>
      <c r="AA59" s="48">
        <f t="shared" si="22"/>
        <v>241850.34415280001</v>
      </c>
      <c r="AB59" s="48">
        <f t="shared" si="23"/>
        <v>241850.34415280001</v>
      </c>
      <c r="AC59" s="48">
        <f t="shared" si="24"/>
        <v>241850.34415280001</v>
      </c>
      <c r="AD59" s="48">
        <f t="shared" si="25"/>
        <v>241850.34415280001</v>
      </c>
      <c r="AE59" s="48">
        <f t="shared" si="26"/>
        <v>241850.34415280001</v>
      </c>
      <c r="AF59" s="48">
        <f t="shared" si="27"/>
        <v>241850.34415280001</v>
      </c>
      <c r="AG59" s="48">
        <f t="shared" si="28"/>
        <v>241850.34415280001</v>
      </c>
      <c r="AH59" s="48">
        <f t="shared" si="29"/>
        <v>241850.34415280001</v>
      </c>
      <c r="AI59" s="48">
        <f t="shared" si="30"/>
        <v>241850.34415280001</v>
      </c>
      <c r="AJ59" s="48">
        <f t="shared" si="31"/>
        <v>241850.34415280001</v>
      </c>
      <c r="AK59" s="48">
        <f t="shared" si="32"/>
        <v>241850.34415280001</v>
      </c>
    </row>
    <row r="60" spans="1:37" x14ac:dyDescent="0.2">
      <c r="A60" s="63">
        <v>1984</v>
      </c>
      <c r="B60" s="63">
        <v>2</v>
      </c>
      <c r="C60" s="49">
        <v>210944</v>
      </c>
      <c r="D60" s="49">
        <v>210940</v>
      </c>
      <c r="E60" s="49">
        <v>210940</v>
      </c>
      <c r="F60" s="49">
        <v>210940</v>
      </c>
      <c r="G60" s="49">
        <v>210940</v>
      </c>
      <c r="H60" s="49">
        <v>210940</v>
      </c>
      <c r="I60" s="49">
        <v>210940</v>
      </c>
      <c r="J60" s="49">
        <v>210940</v>
      </c>
      <c r="K60" s="49">
        <v>211031</v>
      </c>
      <c r="L60" s="49">
        <v>211031</v>
      </c>
      <c r="M60" s="49">
        <v>211031</v>
      </c>
      <c r="N60" s="49">
        <v>211031</v>
      </c>
      <c r="O60" s="49">
        <v>211031</v>
      </c>
      <c r="P60" s="49">
        <v>211031</v>
      </c>
      <c r="Q60" s="49">
        <f t="shared" si="34"/>
        <v>211031</v>
      </c>
      <c r="R60" s="49">
        <f t="shared" si="34"/>
        <v>211031</v>
      </c>
      <c r="S60" s="49">
        <f t="shared" si="34"/>
        <v>211031</v>
      </c>
      <c r="T60" s="48">
        <f t="shared" si="14"/>
        <v>211031</v>
      </c>
      <c r="U60" s="48">
        <f t="shared" si="16"/>
        <v>211031</v>
      </c>
      <c r="V60" s="48">
        <f t="shared" si="17"/>
        <v>211031</v>
      </c>
      <c r="W60" s="48">
        <f t="shared" si="18"/>
        <v>211031</v>
      </c>
      <c r="X60" s="48">
        <f t="shared" si="19"/>
        <v>211031</v>
      </c>
      <c r="Y60" s="48">
        <f t="shared" si="20"/>
        <v>211031</v>
      </c>
      <c r="Z60" s="48">
        <f t="shared" si="21"/>
        <v>242628.71149067546</v>
      </c>
      <c r="AA60" s="48">
        <f t="shared" si="22"/>
        <v>242628.71149067543</v>
      </c>
      <c r="AB60" s="48">
        <f t="shared" si="23"/>
        <v>242628.71149067543</v>
      </c>
      <c r="AC60" s="48">
        <f t="shared" si="24"/>
        <v>242628.71149067543</v>
      </c>
      <c r="AD60" s="48">
        <f t="shared" si="25"/>
        <v>242628.71149067543</v>
      </c>
      <c r="AE60" s="48">
        <f t="shared" si="26"/>
        <v>242628.71149067543</v>
      </c>
      <c r="AF60" s="48">
        <f t="shared" si="27"/>
        <v>242628.71149067543</v>
      </c>
      <c r="AG60" s="48">
        <f t="shared" si="28"/>
        <v>242628.71149067543</v>
      </c>
      <c r="AH60" s="48">
        <f t="shared" si="29"/>
        <v>242628.71149067543</v>
      </c>
      <c r="AI60" s="48">
        <f t="shared" si="30"/>
        <v>242628.71149067543</v>
      </c>
      <c r="AJ60" s="48">
        <f t="shared" si="31"/>
        <v>242628.71149067543</v>
      </c>
      <c r="AK60" s="48">
        <f t="shared" si="32"/>
        <v>242628.71149067543</v>
      </c>
    </row>
    <row r="61" spans="1:37" x14ac:dyDescent="0.2">
      <c r="A61" s="63">
        <v>1984</v>
      </c>
      <c r="B61" s="63">
        <v>3</v>
      </c>
      <c r="C61" s="49">
        <v>213332</v>
      </c>
      <c r="D61" s="49">
        <v>213416</v>
      </c>
      <c r="E61" s="49">
        <v>213416</v>
      </c>
      <c r="F61" s="49">
        <v>213416</v>
      </c>
      <c r="G61" s="49">
        <v>213416</v>
      </c>
      <c r="H61" s="49">
        <v>213416</v>
      </c>
      <c r="I61" s="49">
        <v>213416</v>
      </c>
      <c r="J61" s="49">
        <v>213416</v>
      </c>
      <c r="K61" s="49">
        <v>213516</v>
      </c>
      <c r="L61" s="49">
        <v>213516</v>
      </c>
      <c r="M61" s="49">
        <v>213516</v>
      </c>
      <c r="N61" s="49">
        <v>213516</v>
      </c>
      <c r="O61" s="49">
        <v>213516</v>
      </c>
      <c r="P61" s="49">
        <v>213516</v>
      </c>
      <c r="Q61" s="49">
        <f t="shared" si="34"/>
        <v>213516</v>
      </c>
      <c r="R61" s="49">
        <f t="shared" si="34"/>
        <v>213516</v>
      </c>
      <c r="S61" s="49">
        <f t="shared" si="34"/>
        <v>213516</v>
      </c>
      <c r="T61" s="48">
        <f t="shared" si="14"/>
        <v>213516</v>
      </c>
      <c r="U61" s="48">
        <f t="shared" si="16"/>
        <v>213516</v>
      </c>
      <c r="V61" s="48">
        <f t="shared" si="17"/>
        <v>213516</v>
      </c>
      <c r="W61" s="48">
        <f t="shared" si="18"/>
        <v>213516</v>
      </c>
      <c r="X61" s="48">
        <f t="shared" si="19"/>
        <v>213516</v>
      </c>
      <c r="Y61" s="48">
        <f t="shared" si="20"/>
        <v>213516</v>
      </c>
      <c r="Z61" s="48">
        <f t="shared" si="21"/>
        <v>245485.79101005569</v>
      </c>
      <c r="AA61" s="48">
        <f t="shared" si="22"/>
        <v>245485.79101005566</v>
      </c>
      <c r="AB61" s="48">
        <f t="shared" si="23"/>
        <v>245485.79101005566</v>
      </c>
      <c r="AC61" s="48">
        <f t="shared" si="24"/>
        <v>245485.79101005566</v>
      </c>
      <c r="AD61" s="48">
        <f t="shared" si="25"/>
        <v>245485.79101005566</v>
      </c>
      <c r="AE61" s="48">
        <f t="shared" si="26"/>
        <v>245485.79101005566</v>
      </c>
      <c r="AF61" s="48">
        <f t="shared" si="27"/>
        <v>245485.79101005566</v>
      </c>
      <c r="AG61" s="48">
        <f t="shared" si="28"/>
        <v>245485.79101005566</v>
      </c>
      <c r="AH61" s="48">
        <f t="shared" si="29"/>
        <v>245485.79101005566</v>
      </c>
      <c r="AI61" s="48">
        <f t="shared" si="30"/>
        <v>245485.79101005566</v>
      </c>
      <c r="AJ61" s="48">
        <f t="shared" si="31"/>
        <v>245485.79101005566</v>
      </c>
      <c r="AK61" s="48">
        <f t="shared" si="32"/>
        <v>245485.79101005566</v>
      </c>
    </row>
    <row r="62" spans="1:37" x14ac:dyDescent="0.2">
      <c r="A62" s="63">
        <v>1984</v>
      </c>
      <c r="B62" s="63">
        <v>4</v>
      </c>
      <c r="C62" s="49">
        <v>213588</v>
      </c>
      <c r="D62" s="49">
        <v>213506</v>
      </c>
      <c r="E62" s="49">
        <v>213506</v>
      </c>
      <c r="F62" s="49">
        <v>213506</v>
      </c>
      <c r="G62" s="49">
        <v>213506</v>
      </c>
      <c r="H62" s="49">
        <v>213506</v>
      </c>
      <c r="I62" s="49">
        <v>213506</v>
      </c>
      <c r="J62" s="49">
        <v>213506</v>
      </c>
      <c r="K62" s="49">
        <v>213550</v>
      </c>
      <c r="L62" s="49">
        <v>213550</v>
      </c>
      <c r="M62" s="49">
        <v>213550</v>
      </c>
      <c r="N62" s="49">
        <v>213550</v>
      </c>
      <c r="O62" s="49">
        <v>213550</v>
      </c>
      <c r="P62" s="49">
        <v>213550</v>
      </c>
      <c r="Q62" s="49">
        <f t="shared" si="34"/>
        <v>213550</v>
      </c>
      <c r="R62" s="49">
        <f t="shared" si="34"/>
        <v>213550</v>
      </c>
      <c r="S62" s="49">
        <f t="shared" si="34"/>
        <v>213550</v>
      </c>
      <c r="T62" s="48">
        <f t="shared" si="14"/>
        <v>213550</v>
      </c>
      <c r="U62" s="48">
        <f t="shared" si="16"/>
        <v>213550</v>
      </c>
      <c r="V62" s="48">
        <f t="shared" si="17"/>
        <v>213550</v>
      </c>
      <c r="W62" s="48">
        <f t="shared" si="18"/>
        <v>213550</v>
      </c>
      <c r="X62" s="48">
        <f t="shared" si="19"/>
        <v>213550</v>
      </c>
      <c r="Y62" s="48">
        <f t="shared" si="20"/>
        <v>213550</v>
      </c>
      <c r="Z62" s="48">
        <f t="shared" si="21"/>
        <v>245524.88183647781</v>
      </c>
      <c r="AA62" s="48">
        <f t="shared" si="22"/>
        <v>245524.88183647778</v>
      </c>
      <c r="AB62" s="48">
        <f t="shared" si="23"/>
        <v>245524.88183647778</v>
      </c>
      <c r="AC62" s="48">
        <f t="shared" si="24"/>
        <v>245524.88183647778</v>
      </c>
      <c r="AD62" s="48">
        <f t="shared" si="25"/>
        <v>245524.88183647778</v>
      </c>
      <c r="AE62" s="48">
        <f t="shared" si="26"/>
        <v>245524.88183647778</v>
      </c>
      <c r="AF62" s="48">
        <f t="shared" si="27"/>
        <v>245524.88183647778</v>
      </c>
      <c r="AG62" s="48">
        <f t="shared" si="28"/>
        <v>245524.88183647778</v>
      </c>
      <c r="AH62" s="48">
        <f t="shared" si="29"/>
        <v>245524.88183647778</v>
      </c>
      <c r="AI62" s="48">
        <f t="shared" si="30"/>
        <v>245524.88183647778</v>
      </c>
      <c r="AJ62" s="48">
        <f t="shared" si="31"/>
        <v>245524.88183647778</v>
      </c>
      <c r="AK62" s="48">
        <f t="shared" si="32"/>
        <v>245524.88183647778</v>
      </c>
    </row>
    <row r="63" spans="1:37" x14ac:dyDescent="0.2">
      <c r="A63" s="63">
        <v>1985</v>
      </c>
      <c r="B63" s="63">
        <v>1</v>
      </c>
      <c r="C63" s="49">
        <v>214740</v>
      </c>
      <c r="D63" s="49">
        <v>214699</v>
      </c>
      <c r="E63" s="49">
        <v>214699</v>
      </c>
      <c r="F63" s="49">
        <v>214699</v>
      </c>
      <c r="G63" s="49">
        <v>214699</v>
      </c>
      <c r="H63" s="49">
        <v>214699</v>
      </c>
      <c r="I63" s="49">
        <v>214699</v>
      </c>
      <c r="J63" s="49">
        <v>214699</v>
      </c>
      <c r="K63" s="49">
        <v>214771</v>
      </c>
      <c r="L63" s="49">
        <v>214771</v>
      </c>
      <c r="M63" s="49">
        <v>214771</v>
      </c>
      <c r="N63" s="49">
        <v>214771</v>
      </c>
      <c r="O63" s="49">
        <v>214771</v>
      </c>
      <c r="P63" s="49">
        <v>214771</v>
      </c>
      <c r="Q63" s="49">
        <f t="shared" si="34"/>
        <v>214771</v>
      </c>
      <c r="R63" s="49">
        <f t="shared" si="34"/>
        <v>214771</v>
      </c>
      <c r="S63" s="49">
        <f t="shared" si="34"/>
        <v>214771</v>
      </c>
      <c r="T63" s="48">
        <f t="shared" si="14"/>
        <v>214771</v>
      </c>
      <c r="U63" s="48">
        <f t="shared" si="16"/>
        <v>214771</v>
      </c>
      <c r="V63" s="48">
        <f t="shared" si="17"/>
        <v>214771</v>
      </c>
      <c r="W63" s="48">
        <f t="shared" si="18"/>
        <v>214771</v>
      </c>
      <c r="X63" s="48">
        <f t="shared" si="19"/>
        <v>214771</v>
      </c>
      <c r="Y63" s="48">
        <f t="shared" si="20"/>
        <v>214771</v>
      </c>
      <c r="Z63" s="48">
        <f t="shared" si="21"/>
        <v>246928.70239710688</v>
      </c>
      <c r="AA63" s="48">
        <f t="shared" si="22"/>
        <v>246928.70239710686</v>
      </c>
      <c r="AB63" s="48">
        <f t="shared" si="23"/>
        <v>246928.70239710686</v>
      </c>
      <c r="AC63" s="48">
        <f t="shared" si="24"/>
        <v>246928.70239710686</v>
      </c>
      <c r="AD63" s="48">
        <f t="shared" si="25"/>
        <v>246928.70239710686</v>
      </c>
      <c r="AE63" s="48">
        <f t="shared" si="26"/>
        <v>246928.70239710686</v>
      </c>
      <c r="AF63" s="48">
        <f t="shared" si="27"/>
        <v>246928.70239710686</v>
      </c>
      <c r="AG63" s="48">
        <f t="shared" si="28"/>
        <v>246928.70239710686</v>
      </c>
      <c r="AH63" s="48">
        <f t="shared" si="29"/>
        <v>246928.70239710686</v>
      </c>
      <c r="AI63" s="48">
        <f t="shared" si="30"/>
        <v>246928.70239710686</v>
      </c>
      <c r="AJ63" s="48">
        <f t="shared" si="31"/>
        <v>246928.70239710686</v>
      </c>
      <c r="AK63" s="48">
        <f t="shared" si="32"/>
        <v>246928.70239710686</v>
      </c>
    </row>
    <row r="64" spans="1:37" x14ac:dyDescent="0.2">
      <c r="A64" s="63">
        <v>1985</v>
      </c>
      <c r="B64" s="63">
        <v>2</v>
      </c>
      <c r="C64" s="49">
        <v>217478</v>
      </c>
      <c r="D64" s="49">
        <v>217602</v>
      </c>
      <c r="E64" s="49">
        <v>217602</v>
      </c>
      <c r="F64" s="49">
        <v>217602</v>
      </c>
      <c r="G64" s="49">
        <v>217602</v>
      </c>
      <c r="H64" s="49">
        <v>217602</v>
      </c>
      <c r="I64" s="49">
        <v>217602</v>
      </c>
      <c r="J64" s="49">
        <v>217602</v>
      </c>
      <c r="K64" s="49">
        <v>217608</v>
      </c>
      <c r="L64" s="49">
        <v>217608</v>
      </c>
      <c r="M64" s="49">
        <v>217608</v>
      </c>
      <c r="N64" s="49">
        <v>217608</v>
      </c>
      <c r="O64" s="49">
        <v>217608</v>
      </c>
      <c r="P64" s="49">
        <v>217608</v>
      </c>
      <c r="Q64" s="49">
        <f t="shared" si="34"/>
        <v>217608</v>
      </c>
      <c r="R64" s="49">
        <f t="shared" si="34"/>
        <v>217608</v>
      </c>
      <c r="S64" s="49">
        <f t="shared" si="34"/>
        <v>217608</v>
      </c>
      <c r="T64" s="48">
        <f t="shared" si="14"/>
        <v>217608</v>
      </c>
      <c r="U64" s="48">
        <f t="shared" si="16"/>
        <v>217608</v>
      </c>
      <c r="V64" s="48">
        <f t="shared" si="17"/>
        <v>217608</v>
      </c>
      <c r="W64" s="48">
        <f t="shared" si="18"/>
        <v>217608</v>
      </c>
      <c r="X64" s="48">
        <f t="shared" si="19"/>
        <v>217608</v>
      </c>
      <c r="Y64" s="48">
        <f t="shared" si="20"/>
        <v>217608</v>
      </c>
      <c r="Z64" s="48">
        <f t="shared" si="21"/>
        <v>250190.48694297479</v>
      </c>
      <c r="AA64" s="48">
        <f t="shared" si="22"/>
        <v>250190.48694297476</v>
      </c>
      <c r="AB64" s="48">
        <f t="shared" si="23"/>
        <v>250190.48694297476</v>
      </c>
      <c r="AC64" s="48">
        <f t="shared" si="24"/>
        <v>250190.48694297476</v>
      </c>
      <c r="AD64" s="48">
        <f t="shared" si="25"/>
        <v>250190.48694297476</v>
      </c>
      <c r="AE64" s="48">
        <f t="shared" si="26"/>
        <v>250190.48694297476</v>
      </c>
      <c r="AF64" s="48">
        <f t="shared" si="27"/>
        <v>250190.48694297476</v>
      </c>
      <c r="AG64" s="48">
        <f t="shared" si="28"/>
        <v>250190.48694297476</v>
      </c>
      <c r="AH64" s="48">
        <f t="shared" si="29"/>
        <v>250190.48694297476</v>
      </c>
      <c r="AI64" s="48">
        <f t="shared" si="30"/>
        <v>250190.48694297476</v>
      </c>
      <c r="AJ64" s="48">
        <f t="shared" si="31"/>
        <v>250190.48694297476</v>
      </c>
      <c r="AK64" s="48">
        <f t="shared" si="32"/>
        <v>250190.48694297476</v>
      </c>
    </row>
    <row r="65" spans="1:37" x14ac:dyDescent="0.2">
      <c r="A65" s="63">
        <v>1985</v>
      </c>
      <c r="B65" s="63">
        <v>3</v>
      </c>
      <c r="C65" s="49">
        <v>219393</v>
      </c>
      <c r="D65" s="49">
        <v>219302</v>
      </c>
      <c r="E65" s="49">
        <v>219302</v>
      </c>
      <c r="F65" s="49">
        <v>219302</v>
      </c>
      <c r="G65" s="49">
        <v>219302</v>
      </c>
      <c r="H65" s="49">
        <v>219302</v>
      </c>
      <c r="I65" s="49">
        <v>219302</v>
      </c>
      <c r="J65" s="49">
        <v>219302</v>
      </c>
      <c r="K65" s="49">
        <v>219351</v>
      </c>
      <c r="L65" s="49">
        <v>219351</v>
      </c>
      <c r="M65" s="49">
        <v>219351</v>
      </c>
      <c r="N65" s="49">
        <v>219351</v>
      </c>
      <c r="O65" s="49">
        <v>219351</v>
      </c>
      <c r="P65" s="49">
        <v>219351</v>
      </c>
      <c r="Q65" s="49">
        <f t="shared" si="34"/>
        <v>219351</v>
      </c>
      <c r="R65" s="49">
        <f t="shared" si="34"/>
        <v>219351</v>
      </c>
      <c r="S65" s="49">
        <f t="shared" si="34"/>
        <v>219351</v>
      </c>
      <c r="T65" s="48">
        <f t="shared" si="14"/>
        <v>219351</v>
      </c>
      <c r="U65" s="48">
        <f t="shared" si="16"/>
        <v>219351</v>
      </c>
      <c r="V65" s="48">
        <f t="shared" si="17"/>
        <v>219351</v>
      </c>
      <c r="W65" s="48">
        <f t="shared" si="18"/>
        <v>219351</v>
      </c>
      <c r="X65" s="48">
        <f t="shared" si="19"/>
        <v>219351</v>
      </c>
      <c r="Y65" s="48">
        <f t="shared" si="20"/>
        <v>219351</v>
      </c>
      <c r="Z65" s="48">
        <f t="shared" si="21"/>
        <v>252194.46666220206</v>
      </c>
      <c r="AA65" s="48">
        <f t="shared" si="22"/>
        <v>252194.46666220203</v>
      </c>
      <c r="AB65" s="48">
        <f t="shared" si="23"/>
        <v>252194.46666220203</v>
      </c>
      <c r="AC65" s="48">
        <f t="shared" si="24"/>
        <v>252194.46666220203</v>
      </c>
      <c r="AD65" s="48">
        <f t="shared" si="25"/>
        <v>252194.46666220203</v>
      </c>
      <c r="AE65" s="48">
        <f t="shared" si="26"/>
        <v>252194.46666220203</v>
      </c>
      <c r="AF65" s="48">
        <f t="shared" si="27"/>
        <v>252194.46666220203</v>
      </c>
      <c r="AG65" s="48">
        <f t="shared" si="28"/>
        <v>252194.46666220203</v>
      </c>
      <c r="AH65" s="48">
        <f t="shared" si="29"/>
        <v>252194.46666220203</v>
      </c>
      <c r="AI65" s="48">
        <f t="shared" si="30"/>
        <v>252194.46666220203</v>
      </c>
      <c r="AJ65" s="48">
        <f t="shared" si="31"/>
        <v>252194.46666220203</v>
      </c>
      <c r="AK65" s="48">
        <f t="shared" si="32"/>
        <v>252194.46666220203</v>
      </c>
    </row>
    <row r="66" spans="1:37" x14ac:dyDescent="0.2">
      <c r="A66" s="63">
        <v>1985</v>
      </c>
      <c r="B66" s="63">
        <v>4</v>
      </c>
      <c r="C66" s="49">
        <v>220782</v>
      </c>
      <c r="D66" s="49">
        <v>220790</v>
      </c>
      <c r="E66" s="49">
        <v>220790</v>
      </c>
      <c r="F66" s="49">
        <v>220790</v>
      </c>
      <c r="G66" s="49">
        <v>220790</v>
      </c>
      <c r="H66" s="49">
        <v>220790</v>
      </c>
      <c r="I66" s="49">
        <v>220790</v>
      </c>
      <c r="J66" s="49">
        <v>220790</v>
      </c>
      <c r="K66" s="49">
        <v>220814</v>
      </c>
      <c r="L66" s="49">
        <v>220814</v>
      </c>
      <c r="M66" s="49">
        <v>220814</v>
      </c>
      <c r="N66" s="49">
        <v>220814</v>
      </c>
      <c r="O66" s="49">
        <v>220814</v>
      </c>
      <c r="P66" s="49">
        <v>220814</v>
      </c>
      <c r="Q66" s="49">
        <f t="shared" si="34"/>
        <v>220814</v>
      </c>
      <c r="R66" s="49">
        <f t="shared" si="34"/>
        <v>220814</v>
      </c>
      <c r="S66" s="49">
        <f t="shared" si="34"/>
        <v>220814</v>
      </c>
      <c r="T66" s="48">
        <f t="shared" si="14"/>
        <v>220814</v>
      </c>
      <c r="U66" s="48">
        <f t="shared" si="16"/>
        <v>220814</v>
      </c>
      <c r="V66" s="48">
        <f t="shared" si="17"/>
        <v>220814</v>
      </c>
      <c r="W66" s="48">
        <f t="shared" si="18"/>
        <v>220814</v>
      </c>
      <c r="X66" s="48">
        <f t="shared" si="19"/>
        <v>220814</v>
      </c>
      <c r="Y66" s="48">
        <f t="shared" si="20"/>
        <v>220814</v>
      </c>
      <c r="Z66" s="48">
        <f t="shared" si="21"/>
        <v>253876.52192854139</v>
      </c>
      <c r="AA66" s="48">
        <f t="shared" si="22"/>
        <v>253876.52192854136</v>
      </c>
      <c r="AB66" s="48">
        <f t="shared" si="23"/>
        <v>253876.52192854136</v>
      </c>
      <c r="AC66" s="48">
        <f t="shared" si="24"/>
        <v>253876.52192854136</v>
      </c>
      <c r="AD66" s="48">
        <f t="shared" si="25"/>
        <v>253876.52192854136</v>
      </c>
      <c r="AE66" s="48">
        <f t="shared" si="26"/>
        <v>253876.52192854136</v>
      </c>
      <c r="AF66" s="48">
        <f t="shared" si="27"/>
        <v>253876.52192854136</v>
      </c>
      <c r="AG66" s="48">
        <f t="shared" si="28"/>
        <v>253876.52192854136</v>
      </c>
      <c r="AH66" s="48">
        <f t="shared" si="29"/>
        <v>253876.52192854136</v>
      </c>
      <c r="AI66" s="48">
        <f t="shared" si="30"/>
        <v>253876.52192854136</v>
      </c>
      <c r="AJ66" s="48">
        <f t="shared" si="31"/>
        <v>253876.52192854136</v>
      </c>
      <c r="AK66" s="48">
        <f t="shared" si="32"/>
        <v>253876.52192854136</v>
      </c>
    </row>
    <row r="67" spans="1:37" x14ac:dyDescent="0.2">
      <c r="A67" s="63">
        <v>1986</v>
      </c>
      <c r="B67" s="63">
        <v>1</v>
      </c>
      <c r="C67" s="49">
        <v>222049</v>
      </c>
      <c r="D67" s="49">
        <v>222070</v>
      </c>
      <c r="E67" s="49">
        <v>222070</v>
      </c>
      <c r="F67" s="49">
        <v>222070</v>
      </c>
      <c r="G67" s="49">
        <v>222070</v>
      </c>
      <c r="H67" s="49">
        <v>222070</v>
      </c>
      <c r="I67" s="49">
        <v>222070</v>
      </c>
      <c r="J67" s="49">
        <v>222070</v>
      </c>
      <c r="K67" s="49">
        <v>222190</v>
      </c>
      <c r="L67" s="49">
        <v>222190</v>
      </c>
      <c r="M67" s="49">
        <v>222190</v>
      </c>
      <c r="N67" s="49">
        <v>222190</v>
      </c>
      <c r="O67" s="49">
        <v>222190</v>
      </c>
      <c r="P67" s="49">
        <v>222190</v>
      </c>
      <c r="Q67" s="49">
        <f t="shared" si="34"/>
        <v>222190</v>
      </c>
      <c r="R67" s="49">
        <f t="shared" si="34"/>
        <v>222190</v>
      </c>
      <c r="S67" s="49">
        <f t="shared" si="34"/>
        <v>222190</v>
      </c>
      <c r="T67" s="48">
        <f t="shared" ref="T67:T117" si="35">T68*S67/S68</f>
        <v>222190</v>
      </c>
      <c r="U67" s="48">
        <f t="shared" si="16"/>
        <v>222190</v>
      </c>
      <c r="V67" s="48">
        <f t="shared" ref="V67:V117" si="36">V68*U67/U68</f>
        <v>222190</v>
      </c>
      <c r="W67" s="48">
        <f t="shared" ref="W67:W117" si="37">W68*V67/V68</f>
        <v>222190</v>
      </c>
      <c r="X67" s="48">
        <f t="shared" ref="X67:X117" si="38">X68*W67/W68</f>
        <v>222190</v>
      </c>
      <c r="Y67" s="48">
        <f t="shared" ref="Y67:Y117" si="39">Y68*X67/X68</f>
        <v>222190</v>
      </c>
      <c r="Z67" s="48">
        <f t="shared" ref="Z67:Z117" si="40">Z68*Y67/Y68</f>
        <v>255458.55066844771</v>
      </c>
      <c r="AA67" s="48">
        <f t="shared" ref="AA67:AA117" si="41">AA68*Z67/Z68</f>
        <v>255458.55066844769</v>
      </c>
      <c r="AB67" s="48">
        <f t="shared" ref="AB67:AB117" si="42">AB68*AA67/AA68</f>
        <v>255458.55066844769</v>
      </c>
      <c r="AC67" s="48">
        <f t="shared" ref="AC67:AC117" si="43">AC68*AB67/AB68</f>
        <v>255458.55066844769</v>
      </c>
      <c r="AD67" s="48">
        <f t="shared" ref="AD67:AD117" si="44">AD68*AC67/AC68</f>
        <v>255458.55066844769</v>
      </c>
      <c r="AE67" s="48">
        <f t="shared" ref="AE67:AE117" si="45">AE68*AD67/AD68</f>
        <v>255458.55066844769</v>
      </c>
      <c r="AF67" s="48">
        <f t="shared" ref="AF67:AF117" si="46">AF68*AE67/AE68</f>
        <v>255458.55066844769</v>
      </c>
      <c r="AG67" s="48">
        <f t="shared" ref="AG67:AG117" si="47">AG68*AF67/AF68</f>
        <v>255458.55066844769</v>
      </c>
      <c r="AH67" s="48">
        <f t="shared" ref="AH67:AH117" si="48">AH68*AG67/AG68</f>
        <v>255458.55066844769</v>
      </c>
      <c r="AI67" s="48">
        <f t="shared" ref="AI67:AI117" si="49">AI68*AH67/AH68</f>
        <v>255458.55066844769</v>
      </c>
      <c r="AJ67" s="48">
        <f t="shared" ref="AJ67:AJ117" si="50">AJ68*AI67/AI68</f>
        <v>255458.55066844769</v>
      </c>
      <c r="AK67" s="48">
        <f t="shared" ref="AK67:AK117" si="51">AK68*AJ67/AJ68</f>
        <v>255458.55066844769</v>
      </c>
    </row>
    <row r="68" spans="1:37" x14ac:dyDescent="0.2">
      <c r="A68" s="63">
        <v>1986</v>
      </c>
      <c r="B68" s="63">
        <v>2</v>
      </c>
      <c r="C68" s="49">
        <v>223644</v>
      </c>
      <c r="D68" s="49">
        <v>223652</v>
      </c>
      <c r="E68" s="49">
        <v>223652</v>
      </c>
      <c r="F68" s="49">
        <v>223652</v>
      </c>
      <c r="G68" s="49">
        <v>223652</v>
      </c>
      <c r="H68" s="49">
        <v>223652</v>
      </c>
      <c r="I68" s="49">
        <v>223652</v>
      </c>
      <c r="J68" s="49">
        <v>223652</v>
      </c>
      <c r="K68" s="49">
        <v>223627</v>
      </c>
      <c r="L68" s="49">
        <v>223627</v>
      </c>
      <c r="M68" s="49">
        <v>223627</v>
      </c>
      <c r="N68" s="49">
        <v>223627</v>
      </c>
      <c r="O68" s="49">
        <v>223627</v>
      </c>
      <c r="P68" s="49">
        <v>223627</v>
      </c>
      <c r="Q68" s="49">
        <f t="shared" si="34"/>
        <v>223627</v>
      </c>
      <c r="R68" s="49">
        <f t="shared" si="34"/>
        <v>223627</v>
      </c>
      <c r="S68" s="49">
        <f t="shared" si="34"/>
        <v>223627</v>
      </c>
      <c r="T68" s="48">
        <f t="shared" si="35"/>
        <v>223627</v>
      </c>
      <c r="U68" s="48">
        <f t="shared" ref="U68:U117" si="52">U69*T68/T69</f>
        <v>223627</v>
      </c>
      <c r="V68" s="48">
        <f t="shared" si="36"/>
        <v>223627</v>
      </c>
      <c r="W68" s="48">
        <f t="shared" si="37"/>
        <v>223627</v>
      </c>
      <c r="X68" s="48">
        <f t="shared" si="38"/>
        <v>223627</v>
      </c>
      <c r="Y68" s="48">
        <f t="shared" si="39"/>
        <v>223627</v>
      </c>
      <c r="Z68" s="48">
        <f t="shared" si="40"/>
        <v>257110.71294987603</v>
      </c>
      <c r="AA68" s="48">
        <f t="shared" si="41"/>
        <v>257110.712949876</v>
      </c>
      <c r="AB68" s="48">
        <f t="shared" si="42"/>
        <v>257110.712949876</v>
      </c>
      <c r="AC68" s="48">
        <f t="shared" si="43"/>
        <v>257110.712949876</v>
      </c>
      <c r="AD68" s="48">
        <f t="shared" si="44"/>
        <v>257110.712949876</v>
      </c>
      <c r="AE68" s="48">
        <f t="shared" si="45"/>
        <v>257110.712949876</v>
      </c>
      <c r="AF68" s="48">
        <f t="shared" si="46"/>
        <v>257110.712949876</v>
      </c>
      <c r="AG68" s="48">
        <f t="shared" si="47"/>
        <v>257110.712949876</v>
      </c>
      <c r="AH68" s="48">
        <f t="shared" si="48"/>
        <v>257110.712949876</v>
      </c>
      <c r="AI68" s="48">
        <f t="shared" si="49"/>
        <v>257110.712949876</v>
      </c>
      <c r="AJ68" s="48">
        <f t="shared" si="50"/>
        <v>257110.712949876</v>
      </c>
      <c r="AK68" s="48">
        <f t="shared" si="51"/>
        <v>257110.712949876</v>
      </c>
    </row>
    <row r="69" spans="1:37" x14ac:dyDescent="0.2">
      <c r="A69" s="63">
        <v>1986</v>
      </c>
      <c r="B69" s="63">
        <v>3</v>
      </c>
      <c r="C69" s="49">
        <v>225777</v>
      </c>
      <c r="D69" s="49">
        <v>225758</v>
      </c>
      <c r="E69" s="49">
        <v>225758</v>
      </c>
      <c r="F69" s="49">
        <v>225758</v>
      </c>
      <c r="G69" s="49">
        <v>225758</v>
      </c>
      <c r="H69" s="49">
        <v>225758</v>
      </c>
      <c r="I69" s="49">
        <v>225758</v>
      </c>
      <c r="J69" s="49">
        <v>225758</v>
      </c>
      <c r="K69" s="49">
        <v>225859</v>
      </c>
      <c r="L69" s="49">
        <v>225859</v>
      </c>
      <c r="M69" s="49">
        <v>225859</v>
      </c>
      <c r="N69" s="49">
        <v>225859</v>
      </c>
      <c r="O69" s="49">
        <v>225859</v>
      </c>
      <c r="P69" s="49">
        <v>225859</v>
      </c>
      <c r="Q69" s="49">
        <f t="shared" si="34"/>
        <v>225859</v>
      </c>
      <c r="R69" s="49">
        <f t="shared" si="34"/>
        <v>225859</v>
      </c>
      <c r="S69" s="49">
        <f t="shared" si="34"/>
        <v>225859</v>
      </c>
      <c r="T69" s="48">
        <f t="shared" si="35"/>
        <v>225859</v>
      </c>
      <c r="U69" s="48">
        <f t="shared" si="52"/>
        <v>225859</v>
      </c>
      <c r="V69" s="48">
        <f t="shared" si="36"/>
        <v>225859</v>
      </c>
      <c r="W69" s="48">
        <f t="shared" si="37"/>
        <v>225859</v>
      </c>
      <c r="X69" s="48">
        <f t="shared" si="38"/>
        <v>225859</v>
      </c>
      <c r="Y69" s="48">
        <f t="shared" si="39"/>
        <v>225859</v>
      </c>
      <c r="Z69" s="48">
        <f t="shared" si="40"/>
        <v>259676.91073146823</v>
      </c>
      <c r="AA69" s="48">
        <f t="shared" si="41"/>
        <v>259676.9107314682</v>
      </c>
      <c r="AB69" s="48">
        <f t="shared" si="42"/>
        <v>259676.9107314682</v>
      </c>
      <c r="AC69" s="48">
        <f t="shared" si="43"/>
        <v>259676.9107314682</v>
      </c>
      <c r="AD69" s="48">
        <f t="shared" si="44"/>
        <v>259676.9107314682</v>
      </c>
      <c r="AE69" s="48">
        <f t="shared" si="45"/>
        <v>259676.9107314682</v>
      </c>
      <c r="AF69" s="48">
        <f t="shared" si="46"/>
        <v>259676.9107314682</v>
      </c>
      <c r="AG69" s="48">
        <f t="shared" si="47"/>
        <v>259676.9107314682</v>
      </c>
      <c r="AH69" s="48">
        <f t="shared" si="48"/>
        <v>259676.9107314682</v>
      </c>
      <c r="AI69" s="48">
        <f t="shared" si="49"/>
        <v>259676.9107314682</v>
      </c>
      <c r="AJ69" s="48">
        <f t="shared" si="50"/>
        <v>259676.9107314682</v>
      </c>
      <c r="AK69" s="48">
        <f t="shared" si="51"/>
        <v>259676.9107314682</v>
      </c>
    </row>
    <row r="70" spans="1:37" x14ac:dyDescent="0.2">
      <c r="A70" s="63">
        <v>1986</v>
      </c>
      <c r="B70" s="63">
        <v>4</v>
      </c>
      <c r="C70" s="49">
        <v>226806</v>
      </c>
      <c r="D70" s="49">
        <v>226796</v>
      </c>
      <c r="E70" s="49">
        <v>226796</v>
      </c>
      <c r="F70" s="49">
        <v>226796</v>
      </c>
      <c r="G70" s="49">
        <v>226796</v>
      </c>
      <c r="H70" s="49">
        <v>226796</v>
      </c>
      <c r="I70" s="49">
        <v>226796</v>
      </c>
      <c r="J70" s="49">
        <v>226796</v>
      </c>
      <c r="K70" s="49">
        <v>226787</v>
      </c>
      <c r="L70" s="49">
        <v>226787</v>
      </c>
      <c r="M70" s="49">
        <v>226787</v>
      </c>
      <c r="N70" s="49">
        <v>226787</v>
      </c>
      <c r="O70" s="49">
        <v>226787</v>
      </c>
      <c r="P70" s="49">
        <v>226787</v>
      </c>
      <c r="Q70" s="49">
        <f t="shared" si="34"/>
        <v>226787</v>
      </c>
      <c r="R70" s="49">
        <f t="shared" si="34"/>
        <v>226787</v>
      </c>
      <c r="S70" s="49">
        <f t="shared" si="34"/>
        <v>226787</v>
      </c>
      <c r="T70" s="48">
        <f t="shared" si="35"/>
        <v>226787</v>
      </c>
      <c r="U70" s="48">
        <f t="shared" si="52"/>
        <v>226787</v>
      </c>
      <c r="V70" s="48">
        <f t="shared" si="36"/>
        <v>226787</v>
      </c>
      <c r="W70" s="48">
        <f t="shared" si="37"/>
        <v>226787</v>
      </c>
      <c r="X70" s="48">
        <f t="shared" si="38"/>
        <v>226787</v>
      </c>
      <c r="Y70" s="48">
        <f t="shared" si="39"/>
        <v>226787</v>
      </c>
      <c r="Z70" s="48">
        <f t="shared" si="40"/>
        <v>260743.86034675391</v>
      </c>
      <c r="AA70" s="48">
        <f t="shared" si="41"/>
        <v>260743.86034675388</v>
      </c>
      <c r="AB70" s="48">
        <f t="shared" si="42"/>
        <v>260743.86034675388</v>
      </c>
      <c r="AC70" s="48">
        <f t="shared" si="43"/>
        <v>260743.86034675388</v>
      </c>
      <c r="AD70" s="48">
        <f t="shared" si="44"/>
        <v>260743.86034675388</v>
      </c>
      <c r="AE70" s="48">
        <f t="shared" si="45"/>
        <v>260743.86034675388</v>
      </c>
      <c r="AF70" s="48">
        <f t="shared" si="46"/>
        <v>260743.86034675388</v>
      </c>
      <c r="AG70" s="48">
        <f t="shared" si="47"/>
        <v>260743.86034675388</v>
      </c>
      <c r="AH70" s="48">
        <f t="shared" si="48"/>
        <v>260743.86034675388</v>
      </c>
      <c r="AI70" s="48">
        <f t="shared" si="49"/>
        <v>260743.86034675388</v>
      </c>
      <c r="AJ70" s="48">
        <f t="shared" si="50"/>
        <v>260743.86034675388</v>
      </c>
      <c r="AK70" s="48">
        <f t="shared" si="51"/>
        <v>260743.86034675388</v>
      </c>
    </row>
    <row r="71" spans="1:37" x14ac:dyDescent="0.2">
      <c r="A71" s="63">
        <v>1987</v>
      </c>
      <c r="B71" s="63">
        <v>1</v>
      </c>
      <c r="C71" s="49">
        <v>227485</v>
      </c>
      <c r="D71" s="49">
        <v>227646</v>
      </c>
      <c r="E71" s="49">
        <v>227646</v>
      </c>
      <c r="F71" s="49">
        <v>227646</v>
      </c>
      <c r="G71" s="49">
        <v>227646</v>
      </c>
      <c r="H71" s="49">
        <v>227646</v>
      </c>
      <c r="I71" s="49">
        <v>227646</v>
      </c>
      <c r="J71" s="49">
        <v>227646</v>
      </c>
      <c r="K71" s="49">
        <v>227716</v>
      </c>
      <c r="L71" s="49">
        <v>227716</v>
      </c>
      <c r="M71" s="49">
        <v>227716</v>
      </c>
      <c r="N71" s="49">
        <v>227716</v>
      </c>
      <c r="O71" s="49">
        <v>227716</v>
      </c>
      <c r="P71" s="49">
        <v>227716</v>
      </c>
      <c r="Q71" s="49">
        <f t="shared" si="34"/>
        <v>227716</v>
      </c>
      <c r="R71" s="49">
        <f t="shared" si="34"/>
        <v>227716</v>
      </c>
      <c r="S71" s="49">
        <f t="shared" si="34"/>
        <v>227716</v>
      </c>
      <c r="T71" s="48">
        <f t="shared" si="35"/>
        <v>227716</v>
      </c>
      <c r="U71" s="48">
        <f t="shared" si="52"/>
        <v>227716</v>
      </c>
      <c r="V71" s="48">
        <f t="shared" si="36"/>
        <v>227716</v>
      </c>
      <c r="W71" s="48">
        <f t="shared" si="37"/>
        <v>227716</v>
      </c>
      <c r="X71" s="48">
        <f t="shared" si="38"/>
        <v>227716</v>
      </c>
      <c r="Y71" s="48">
        <f t="shared" si="39"/>
        <v>227716</v>
      </c>
      <c r="Z71" s="48">
        <f t="shared" si="40"/>
        <v>261811.95969222844</v>
      </c>
      <c r="AA71" s="48">
        <f t="shared" si="41"/>
        <v>261811.95969222841</v>
      </c>
      <c r="AB71" s="48">
        <f t="shared" si="42"/>
        <v>261811.95969222841</v>
      </c>
      <c r="AC71" s="48">
        <f t="shared" si="43"/>
        <v>261811.95969222841</v>
      </c>
      <c r="AD71" s="48">
        <f t="shared" si="44"/>
        <v>261811.95969222841</v>
      </c>
      <c r="AE71" s="48">
        <f t="shared" si="45"/>
        <v>261811.95969222841</v>
      </c>
      <c r="AF71" s="48">
        <f t="shared" si="46"/>
        <v>261811.95969222841</v>
      </c>
      <c r="AG71" s="48">
        <f t="shared" si="47"/>
        <v>261811.95969222841</v>
      </c>
      <c r="AH71" s="48">
        <f t="shared" si="48"/>
        <v>261811.95969222841</v>
      </c>
      <c r="AI71" s="48">
        <f t="shared" si="49"/>
        <v>261811.95969222841</v>
      </c>
      <c r="AJ71" s="48">
        <f t="shared" si="50"/>
        <v>261811.95969222841</v>
      </c>
      <c r="AK71" s="48">
        <f t="shared" si="51"/>
        <v>261811.95969222841</v>
      </c>
    </row>
    <row r="72" spans="1:37" x14ac:dyDescent="0.2">
      <c r="A72" s="63">
        <v>1987</v>
      </c>
      <c r="B72" s="63">
        <v>2</v>
      </c>
      <c r="C72" s="49">
        <v>231233</v>
      </c>
      <c r="D72" s="49">
        <v>231139</v>
      </c>
      <c r="E72" s="49">
        <v>231139</v>
      </c>
      <c r="F72" s="49">
        <v>231139</v>
      </c>
      <c r="G72" s="49">
        <v>231139</v>
      </c>
      <c r="H72" s="49">
        <v>231139</v>
      </c>
      <c r="I72" s="49">
        <v>231139</v>
      </c>
      <c r="J72" s="49">
        <v>231139</v>
      </c>
      <c r="K72" s="49">
        <v>231164</v>
      </c>
      <c r="L72" s="49">
        <v>231164</v>
      </c>
      <c r="M72" s="49">
        <v>231164</v>
      </c>
      <c r="N72" s="49">
        <v>231164</v>
      </c>
      <c r="O72" s="49">
        <v>231164</v>
      </c>
      <c r="P72" s="49">
        <v>231164</v>
      </c>
      <c r="Q72" s="49">
        <f t="shared" si="34"/>
        <v>231164</v>
      </c>
      <c r="R72" s="49">
        <f t="shared" si="34"/>
        <v>231164</v>
      </c>
      <c r="S72" s="49">
        <f t="shared" si="34"/>
        <v>231164</v>
      </c>
      <c r="T72" s="48">
        <f t="shared" si="35"/>
        <v>231164</v>
      </c>
      <c r="U72" s="48">
        <f t="shared" si="52"/>
        <v>231164</v>
      </c>
      <c r="V72" s="48">
        <f t="shared" si="36"/>
        <v>231164</v>
      </c>
      <c r="W72" s="48">
        <f t="shared" si="37"/>
        <v>231164</v>
      </c>
      <c r="X72" s="48">
        <f t="shared" si="38"/>
        <v>231164</v>
      </c>
      <c r="Y72" s="48">
        <f t="shared" si="39"/>
        <v>231164</v>
      </c>
      <c r="Z72" s="48">
        <f t="shared" si="40"/>
        <v>265776.2293835053</v>
      </c>
      <c r="AA72" s="48">
        <f t="shared" si="41"/>
        <v>265776.2293835053</v>
      </c>
      <c r="AB72" s="48">
        <f t="shared" si="42"/>
        <v>265776.2293835053</v>
      </c>
      <c r="AC72" s="48">
        <f t="shared" si="43"/>
        <v>265776.2293835053</v>
      </c>
      <c r="AD72" s="48">
        <f t="shared" si="44"/>
        <v>265776.2293835053</v>
      </c>
      <c r="AE72" s="48">
        <f t="shared" si="45"/>
        <v>265776.2293835053</v>
      </c>
      <c r="AF72" s="48">
        <f t="shared" si="46"/>
        <v>265776.2293835053</v>
      </c>
      <c r="AG72" s="48">
        <f t="shared" si="47"/>
        <v>265776.2293835053</v>
      </c>
      <c r="AH72" s="48">
        <f t="shared" si="48"/>
        <v>265776.2293835053</v>
      </c>
      <c r="AI72" s="48">
        <f t="shared" si="49"/>
        <v>265776.2293835053</v>
      </c>
      <c r="AJ72" s="48">
        <f t="shared" si="50"/>
        <v>265776.2293835053</v>
      </c>
      <c r="AK72" s="48">
        <f t="shared" si="51"/>
        <v>265776.2293835053</v>
      </c>
    </row>
    <row r="73" spans="1:37" x14ac:dyDescent="0.2">
      <c r="A73" s="63">
        <v>1987</v>
      </c>
      <c r="B73" s="63">
        <v>3</v>
      </c>
      <c r="C73" s="49">
        <v>231786</v>
      </c>
      <c r="D73" s="49">
        <v>231769</v>
      </c>
      <c r="E73" s="49">
        <v>231769</v>
      </c>
      <c r="F73" s="49">
        <v>231769</v>
      </c>
      <c r="G73" s="49">
        <v>231769</v>
      </c>
      <c r="H73" s="49">
        <v>231769</v>
      </c>
      <c r="I73" s="49">
        <v>231769</v>
      </c>
      <c r="J73" s="49">
        <v>231769</v>
      </c>
      <c r="K73" s="49">
        <v>231831</v>
      </c>
      <c r="L73" s="49">
        <v>231831</v>
      </c>
      <c r="M73" s="49">
        <v>231831</v>
      </c>
      <c r="N73" s="49">
        <v>231831</v>
      </c>
      <c r="O73" s="49">
        <v>231831</v>
      </c>
      <c r="P73" s="49">
        <v>231831</v>
      </c>
      <c r="Q73" s="49">
        <f t="shared" si="34"/>
        <v>231831</v>
      </c>
      <c r="R73" s="49">
        <f t="shared" si="34"/>
        <v>231831</v>
      </c>
      <c r="S73" s="49">
        <f t="shared" si="34"/>
        <v>231831</v>
      </c>
      <c r="T73" s="48">
        <f t="shared" si="35"/>
        <v>231831</v>
      </c>
      <c r="U73" s="48">
        <f t="shared" si="52"/>
        <v>231831</v>
      </c>
      <c r="V73" s="48">
        <f t="shared" si="36"/>
        <v>231831</v>
      </c>
      <c r="W73" s="48">
        <f t="shared" si="37"/>
        <v>231831</v>
      </c>
      <c r="X73" s="48">
        <f t="shared" si="38"/>
        <v>231831</v>
      </c>
      <c r="Y73" s="48">
        <f t="shared" si="39"/>
        <v>231831</v>
      </c>
      <c r="Z73" s="48">
        <f t="shared" si="40"/>
        <v>266543.09941949189</v>
      </c>
      <c r="AA73" s="48">
        <f t="shared" si="41"/>
        <v>266543.09941949189</v>
      </c>
      <c r="AB73" s="48">
        <f t="shared" si="42"/>
        <v>266543.09941949189</v>
      </c>
      <c r="AC73" s="48">
        <f t="shared" si="43"/>
        <v>266543.09941949189</v>
      </c>
      <c r="AD73" s="48">
        <f t="shared" si="44"/>
        <v>266543.09941949189</v>
      </c>
      <c r="AE73" s="48">
        <f t="shared" si="45"/>
        <v>266543.09941949189</v>
      </c>
      <c r="AF73" s="48">
        <f t="shared" si="46"/>
        <v>266543.09941949189</v>
      </c>
      <c r="AG73" s="48">
        <f t="shared" si="47"/>
        <v>266543.09941949189</v>
      </c>
      <c r="AH73" s="48">
        <f t="shared" si="48"/>
        <v>266543.09941949189</v>
      </c>
      <c r="AI73" s="48">
        <f t="shared" si="49"/>
        <v>266543.09941949189</v>
      </c>
      <c r="AJ73" s="48">
        <f t="shared" si="50"/>
        <v>266543.09941949189</v>
      </c>
      <c r="AK73" s="48">
        <f t="shared" si="51"/>
        <v>266543.09941949189</v>
      </c>
    </row>
    <row r="74" spans="1:37" x14ac:dyDescent="0.2">
      <c r="A74" s="63">
        <v>1987</v>
      </c>
      <c r="B74" s="63">
        <v>4</v>
      </c>
      <c r="C74" s="49">
        <v>234312</v>
      </c>
      <c r="D74" s="49">
        <v>234261</v>
      </c>
      <c r="E74" s="49">
        <v>234261</v>
      </c>
      <c r="F74" s="49">
        <v>234261</v>
      </c>
      <c r="G74" s="49">
        <v>234261</v>
      </c>
      <c r="H74" s="49">
        <v>234261</v>
      </c>
      <c r="I74" s="49">
        <v>234261</v>
      </c>
      <c r="J74" s="49">
        <v>234261</v>
      </c>
      <c r="K74" s="49">
        <v>234326</v>
      </c>
      <c r="L74" s="49">
        <v>234326</v>
      </c>
      <c r="M74" s="49">
        <v>234326</v>
      </c>
      <c r="N74" s="49">
        <v>234326</v>
      </c>
      <c r="O74" s="49">
        <v>234326</v>
      </c>
      <c r="P74" s="49">
        <v>234326</v>
      </c>
      <c r="Q74" s="49">
        <f t="shared" si="34"/>
        <v>234326</v>
      </c>
      <c r="R74" s="49">
        <f t="shared" si="34"/>
        <v>234326</v>
      </c>
      <c r="S74" s="49">
        <f t="shared" si="34"/>
        <v>234326</v>
      </c>
      <c r="T74" s="48">
        <f t="shared" si="35"/>
        <v>234326</v>
      </c>
      <c r="U74" s="48">
        <f t="shared" si="52"/>
        <v>234326</v>
      </c>
      <c r="V74" s="48">
        <f t="shared" si="36"/>
        <v>234326</v>
      </c>
      <c r="W74" s="48">
        <f t="shared" si="37"/>
        <v>234326</v>
      </c>
      <c r="X74" s="48">
        <f t="shared" si="38"/>
        <v>234326</v>
      </c>
      <c r="Y74" s="48">
        <f t="shared" si="39"/>
        <v>234326</v>
      </c>
      <c r="Z74" s="48">
        <f t="shared" si="40"/>
        <v>269411.67624076095</v>
      </c>
      <c r="AA74" s="48">
        <f t="shared" si="41"/>
        <v>269411.67624076095</v>
      </c>
      <c r="AB74" s="48">
        <f t="shared" si="42"/>
        <v>269411.67624076095</v>
      </c>
      <c r="AC74" s="48">
        <f t="shared" si="43"/>
        <v>269411.67624076095</v>
      </c>
      <c r="AD74" s="48">
        <f t="shared" si="44"/>
        <v>269411.67624076095</v>
      </c>
      <c r="AE74" s="48">
        <f t="shared" si="45"/>
        <v>269411.67624076095</v>
      </c>
      <c r="AF74" s="48">
        <f t="shared" si="46"/>
        <v>269411.67624076095</v>
      </c>
      <c r="AG74" s="48">
        <f t="shared" si="47"/>
        <v>269411.67624076095</v>
      </c>
      <c r="AH74" s="48">
        <f t="shared" si="48"/>
        <v>269411.67624076095</v>
      </c>
      <c r="AI74" s="48">
        <f t="shared" si="49"/>
        <v>269411.67624076095</v>
      </c>
      <c r="AJ74" s="48">
        <f t="shared" si="50"/>
        <v>269411.67624076095</v>
      </c>
      <c r="AK74" s="48">
        <f t="shared" si="51"/>
        <v>269411.67624076095</v>
      </c>
    </row>
    <row r="75" spans="1:37" x14ac:dyDescent="0.2">
      <c r="A75" s="63">
        <v>1988</v>
      </c>
      <c r="B75" s="63">
        <v>1</v>
      </c>
      <c r="C75" s="49">
        <v>237759</v>
      </c>
      <c r="D75" s="49">
        <v>237815</v>
      </c>
      <c r="E75" s="49">
        <v>237815</v>
      </c>
      <c r="F75" s="49">
        <v>237815</v>
      </c>
      <c r="G75" s="49">
        <v>237815</v>
      </c>
      <c r="H75" s="49">
        <v>237815</v>
      </c>
      <c r="I75" s="49">
        <v>237815</v>
      </c>
      <c r="J75" s="49">
        <v>237815</v>
      </c>
      <c r="K75" s="49">
        <v>237774</v>
      </c>
      <c r="L75" s="49">
        <v>237774</v>
      </c>
      <c r="M75" s="49">
        <v>237774</v>
      </c>
      <c r="N75" s="49">
        <v>237774</v>
      </c>
      <c r="O75" s="49">
        <v>237774</v>
      </c>
      <c r="P75" s="49">
        <v>237774</v>
      </c>
      <c r="Q75" s="49">
        <f t="shared" si="34"/>
        <v>237774</v>
      </c>
      <c r="R75" s="49">
        <f t="shared" si="34"/>
        <v>237774</v>
      </c>
      <c r="S75" s="49">
        <f t="shared" si="34"/>
        <v>237774</v>
      </c>
      <c r="T75" s="48">
        <f t="shared" si="35"/>
        <v>237774</v>
      </c>
      <c r="U75" s="48">
        <f t="shared" si="52"/>
        <v>237774</v>
      </c>
      <c r="V75" s="48">
        <f t="shared" si="36"/>
        <v>237774</v>
      </c>
      <c r="W75" s="48">
        <f t="shared" si="37"/>
        <v>237774</v>
      </c>
      <c r="X75" s="48">
        <f t="shared" si="38"/>
        <v>237774</v>
      </c>
      <c r="Y75" s="48">
        <f t="shared" si="39"/>
        <v>237774</v>
      </c>
      <c r="Z75" s="48">
        <f t="shared" si="40"/>
        <v>273375.94593203778</v>
      </c>
      <c r="AA75" s="48">
        <f t="shared" si="41"/>
        <v>273375.94593203778</v>
      </c>
      <c r="AB75" s="48">
        <f t="shared" si="42"/>
        <v>273375.94593203778</v>
      </c>
      <c r="AC75" s="48">
        <f t="shared" si="43"/>
        <v>273375.94593203778</v>
      </c>
      <c r="AD75" s="48">
        <f t="shared" si="44"/>
        <v>273375.94593203778</v>
      </c>
      <c r="AE75" s="48">
        <f t="shared" si="45"/>
        <v>273375.94593203778</v>
      </c>
      <c r="AF75" s="48">
        <f t="shared" si="46"/>
        <v>273375.94593203778</v>
      </c>
      <c r="AG75" s="48">
        <f t="shared" si="47"/>
        <v>273375.94593203778</v>
      </c>
      <c r="AH75" s="48">
        <f t="shared" si="48"/>
        <v>273375.94593203778</v>
      </c>
      <c r="AI75" s="48">
        <f t="shared" si="49"/>
        <v>273375.94593203778</v>
      </c>
      <c r="AJ75" s="48">
        <f t="shared" si="50"/>
        <v>273375.94593203778</v>
      </c>
      <c r="AK75" s="48">
        <f t="shared" si="51"/>
        <v>273375.94593203778</v>
      </c>
    </row>
    <row r="76" spans="1:37" x14ac:dyDescent="0.2">
      <c r="A76" s="63">
        <v>1988</v>
      </c>
      <c r="B76" s="63">
        <v>2</v>
      </c>
      <c r="C76" s="49">
        <v>239171</v>
      </c>
      <c r="D76" s="49">
        <v>239169</v>
      </c>
      <c r="E76" s="49">
        <v>239169</v>
      </c>
      <c r="F76" s="49">
        <v>239169</v>
      </c>
      <c r="G76" s="49">
        <v>239169</v>
      </c>
      <c r="H76" s="49">
        <v>239169</v>
      </c>
      <c r="I76" s="49">
        <v>239169</v>
      </c>
      <c r="J76" s="49">
        <v>239169</v>
      </c>
      <c r="K76" s="49">
        <v>239285</v>
      </c>
      <c r="L76" s="49">
        <v>239285</v>
      </c>
      <c r="M76" s="49">
        <v>239285</v>
      </c>
      <c r="N76" s="49">
        <v>239285</v>
      </c>
      <c r="O76" s="49">
        <v>239285</v>
      </c>
      <c r="P76" s="49">
        <v>239285</v>
      </c>
      <c r="Q76" s="49">
        <f t="shared" si="34"/>
        <v>239285</v>
      </c>
      <c r="R76" s="49">
        <f t="shared" si="34"/>
        <v>239285</v>
      </c>
      <c r="S76" s="49">
        <f t="shared" si="34"/>
        <v>239285</v>
      </c>
      <c r="T76" s="48">
        <f t="shared" si="35"/>
        <v>239285</v>
      </c>
      <c r="U76" s="48">
        <f t="shared" si="52"/>
        <v>239285</v>
      </c>
      <c r="V76" s="48">
        <f t="shared" si="36"/>
        <v>239285</v>
      </c>
      <c r="W76" s="48">
        <f t="shared" si="37"/>
        <v>239285</v>
      </c>
      <c r="X76" s="48">
        <f t="shared" si="38"/>
        <v>239285</v>
      </c>
      <c r="Y76" s="48">
        <f t="shared" si="39"/>
        <v>239285</v>
      </c>
      <c r="Z76" s="48">
        <f t="shared" si="40"/>
        <v>275113.18824744364</v>
      </c>
      <c r="AA76" s="48">
        <f t="shared" si="41"/>
        <v>275113.18824744364</v>
      </c>
      <c r="AB76" s="48">
        <f t="shared" si="42"/>
        <v>275113.18824744364</v>
      </c>
      <c r="AC76" s="48">
        <f t="shared" si="43"/>
        <v>275113.18824744364</v>
      </c>
      <c r="AD76" s="48">
        <f t="shared" si="44"/>
        <v>275113.18824744364</v>
      </c>
      <c r="AE76" s="48">
        <f t="shared" si="45"/>
        <v>275113.18824744364</v>
      </c>
      <c r="AF76" s="48">
        <f t="shared" si="46"/>
        <v>275113.18824744364</v>
      </c>
      <c r="AG76" s="48">
        <f t="shared" si="47"/>
        <v>275113.18824744364</v>
      </c>
      <c r="AH76" s="48">
        <f t="shared" si="48"/>
        <v>275113.18824744364</v>
      </c>
      <c r="AI76" s="48">
        <f t="shared" si="49"/>
        <v>275113.18824744364</v>
      </c>
      <c r="AJ76" s="48">
        <f t="shared" si="50"/>
        <v>275113.18824744364</v>
      </c>
      <c r="AK76" s="48">
        <f t="shared" si="51"/>
        <v>275113.18824744364</v>
      </c>
    </row>
    <row r="77" spans="1:37" x14ac:dyDescent="0.2">
      <c r="A77" s="63">
        <v>1988</v>
      </c>
      <c r="B77" s="63">
        <v>3</v>
      </c>
      <c r="C77" s="49">
        <v>242269</v>
      </c>
      <c r="D77" s="49">
        <v>242278</v>
      </c>
      <c r="E77" s="49">
        <v>242278</v>
      </c>
      <c r="F77" s="49">
        <v>242278</v>
      </c>
      <c r="G77" s="49">
        <v>242278</v>
      </c>
      <c r="H77" s="49">
        <v>242278</v>
      </c>
      <c r="I77" s="49">
        <v>242278</v>
      </c>
      <c r="J77" s="49">
        <v>242278</v>
      </c>
      <c r="K77" s="49">
        <v>242429</v>
      </c>
      <c r="L77" s="49">
        <v>242429</v>
      </c>
      <c r="M77" s="49">
        <v>242429</v>
      </c>
      <c r="N77" s="49">
        <v>242429</v>
      </c>
      <c r="O77" s="49">
        <v>242429</v>
      </c>
      <c r="P77" s="49">
        <v>242429</v>
      </c>
      <c r="Q77" s="49">
        <f t="shared" si="34"/>
        <v>242429</v>
      </c>
      <c r="R77" s="49">
        <f t="shared" si="34"/>
        <v>242429</v>
      </c>
      <c r="S77" s="49">
        <f t="shared" si="34"/>
        <v>242429</v>
      </c>
      <c r="T77" s="48">
        <f t="shared" si="35"/>
        <v>242429</v>
      </c>
      <c r="U77" s="48">
        <f t="shared" si="52"/>
        <v>242429</v>
      </c>
      <c r="V77" s="48">
        <f t="shared" si="36"/>
        <v>242429</v>
      </c>
      <c r="W77" s="48">
        <f t="shared" si="37"/>
        <v>242429</v>
      </c>
      <c r="X77" s="48">
        <f t="shared" si="38"/>
        <v>242429</v>
      </c>
      <c r="Y77" s="48">
        <f t="shared" si="39"/>
        <v>242429</v>
      </c>
      <c r="Z77" s="48">
        <f t="shared" si="40"/>
        <v>278727.93996129936</v>
      </c>
      <c r="AA77" s="48">
        <f t="shared" si="41"/>
        <v>278727.93996129936</v>
      </c>
      <c r="AB77" s="48">
        <f t="shared" si="42"/>
        <v>278727.93996129936</v>
      </c>
      <c r="AC77" s="48">
        <f t="shared" si="43"/>
        <v>278727.93996129936</v>
      </c>
      <c r="AD77" s="48">
        <f t="shared" si="44"/>
        <v>278727.93996129936</v>
      </c>
      <c r="AE77" s="48">
        <f t="shared" si="45"/>
        <v>278727.93996129936</v>
      </c>
      <c r="AF77" s="48">
        <f t="shared" si="46"/>
        <v>278727.93996129936</v>
      </c>
      <c r="AG77" s="48">
        <f t="shared" si="47"/>
        <v>278727.93996129936</v>
      </c>
      <c r="AH77" s="48">
        <f t="shared" si="48"/>
        <v>278727.93996129936</v>
      </c>
      <c r="AI77" s="48">
        <f t="shared" si="49"/>
        <v>278727.93996129936</v>
      </c>
      <c r="AJ77" s="48">
        <f t="shared" si="50"/>
        <v>278727.93996129936</v>
      </c>
      <c r="AK77" s="48">
        <f t="shared" si="51"/>
        <v>278727.93996129936</v>
      </c>
    </row>
    <row r="78" spans="1:37" x14ac:dyDescent="0.2">
      <c r="A78" s="63">
        <v>1988</v>
      </c>
      <c r="B78" s="63">
        <v>4</v>
      </c>
      <c r="C78" s="49">
        <v>245345</v>
      </c>
      <c r="D78" s="49">
        <v>245282</v>
      </c>
      <c r="E78" s="49">
        <v>245282</v>
      </c>
      <c r="F78" s="49">
        <v>245282</v>
      </c>
      <c r="G78" s="49">
        <v>245282</v>
      </c>
      <c r="H78" s="49">
        <v>245282</v>
      </c>
      <c r="I78" s="49">
        <v>245282</v>
      </c>
      <c r="J78" s="49">
        <v>245282</v>
      </c>
      <c r="K78" s="49">
        <v>245323</v>
      </c>
      <c r="L78" s="49">
        <v>245323</v>
      </c>
      <c r="M78" s="49">
        <v>245323</v>
      </c>
      <c r="N78" s="49">
        <v>245323</v>
      </c>
      <c r="O78" s="49">
        <v>245323</v>
      </c>
      <c r="P78" s="49">
        <v>245323</v>
      </c>
      <c r="Q78" s="49">
        <f t="shared" si="34"/>
        <v>245323</v>
      </c>
      <c r="R78" s="49">
        <f t="shared" si="34"/>
        <v>245323</v>
      </c>
      <c r="S78" s="49">
        <f t="shared" si="34"/>
        <v>245323</v>
      </c>
      <c r="T78" s="48">
        <f t="shared" si="35"/>
        <v>245323</v>
      </c>
      <c r="U78" s="48">
        <f t="shared" si="52"/>
        <v>245323</v>
      </c>
      <c r="V78" s="48">
        <f t="shared" si="36"/>
        <v>245323</v>
      </c>
      <c r="W78" s="48">
        <f t="shared" si="37"/>
        <v>245323</v>
      </c>
      <c r="X78" s="48">
        <f t="shared" si="38"/>
        <v>245323</v>
      </c>
      <c r="Y78" s="48">
        <f t="shared" si="39"/>
        <v>245323</v>
      </c>
      <c r="Z78" s="48">
        <f t="shared" si="40"/>
        <v>282055.25912793371</v>
      </c>
      <c r="AA78" s="48">
        <f t="shared" si="41"/>
        <v>282055.25912793371</v>
      </c>
      <c r="AB78" s="48">
        <f t="shared" si="42"/>
        <v>282055.25912793371</v>
      </c>
      <c r="AC78" s="48">
        <f t="shared" si="43"/>
        <v>282055.25912793371</v>
      </c>
      <c r="AD78" s="48">
        <f t="shared" si="44"/>
        <v>282055.25912793371</v>
      </c>
      <c r="AE78" s="48">
        <f t="shared" si="45"/>
        <v>282055.25912793371</v>
      </c>
      <c r="AF78" s="48">
        <f t="shared" si="46"/>
        <v>282055.25912793371</v>
      </c>
      <c r="AG78" s="48">
        <f t="shared" si="47"/>
        <v>282055.25912793371</v>
      </c>
      <c r="AH78" s="48">
        <f t="shared" si="48"/>
        <v>282055.25912793371</v>
      </c>
      <c r="AI78" s="48">
        <f t="shared" si="49"/>
        <v>282055.25912793371</v>
      </c>
      <c r="AJ78" s="48">
        <f t="shared" si="50"/>
        <v>282055.25912793371</v>
      </c>
      <c r="AK78" s="48">
        <f t="shared" si="51"/>
        <v>282055.25912793371</v>
      </c>
    </row>
    <row r="79" spans="1:37" x14ac:dyDescent="0.2">
      <c r="A79" s="63">
        <v>1989</v>
      </c>
      <c r="B79" s="63">
        <v>1</v>
      </c>
      <c r="C79" s="49">
        <v>246601</v>
      </c>
      <c r="D79" s="49">
        <v>246744</v>
      </c>
      <c r="E79" s="49">
        <v>246744</v>
      </c>
      <c r="F79" s="49">
        <v>246744</v>
      </c>
      <c r="G79" s="49">
        <v>246744</v>
      </c>
      <c r="H79" s="49">
        <v>246744</v>
      </c>
      <c r="I79" s="49">
        <v>246744</v>
      </c>
      <c r="J79" s="49">
        <v>246744</v>
      </c>
      <c r="K79" s="49">
        <v>246847</v>
      </c>
      <c r="L79" s="49">
        <v>246847</v>
      </c>
      <c r="M79" s="49">
        <v>246847</v>
      </c>
      <c r="N79" s="49">
        <v>246847</v>
      </c>
      <c r="O79" s="49">
        <v>246847</v>
      </c>
      <c r="P79" s="49">
        <v>246847</v>
      </c>
      <c r="Q79" s="49">
        <f t="shared" si="34"/>
        <v>246847</v>
      </c>
      <c r="R79" s="49">
        <f t="shared" si="34"/>
        <v>246847</v>
      </c>
      <c r="S79" s="49">
        <f t="shared" si="34"/>
        <v>246847</v>
      </c>
      <c r="T79" s="48">
        <f t="shared" si="35"/>
        <v>246847</v>
      </c>
      <c r="U79" s="48">
        <f t="shared" si="52"/>
        <v>246847</v>
      </c>
      <c r="V79" s="48">
        <f t="shared" si="36"/>
        <v>246847</v>
      </c>
      <c r="W79" s="48">
        <f t="shared" si="37"/>
        <v>246847</v>
      </c>
      <c r="X79" s="48">
        <f t="shared" si="38"/>
        <v>246847</v>
      </c>
      <c r="Y79" s="48">
        <f t="shared" si="39"/>
        <v>246847</v>
      </c>
      <c r="Z79" s="48">
        <f t="shared" si="40"/>
        <v>283807.44793579506</v>
      </c>
      <c r="AA79" s="48">
        <f t="shared" si="41"/>
        <v>283807.44793579506</v>
      </c>
      <c r="AB79" s="48">
        <f t="shared" si="42"/>
        <v>283807.44793579506</v>
      </c>
      <c r="AC79" s="48">
        <f t="shared" si="43"/>
        <v>283807.44793579506</v>
      </c>
      <c r="AD79" s="48">
        <f t="shared" si="44"/>
        <v>283807.44793579506</v>
      </c>
      <c r="AE79" s="48">
        <f t="shared" si="45"/>
        <v>283807.44793579506</v>
      </c>
      <c r="AF79" s="48">
        <f t="shared" si="46"/>
        <v>283807.44793579506</v>
      </c>
      <c r="AG79" s="48">
        <f t="shared" si="47"/>
        <v>283807.44793579506</v>
      </c>
      <c r="AH79" s="48">
        <f t="shared" si="48"/>
        <v>283807.44793579506</v>
      </c>
      <c r="AI79" s="48">
        <f t="shared" si="49"/>
        <v>283807.44793579506</v>
      </c>
      <c r="AJ79" s="48">
        <f t="shared" si="50"/>
        <v>283807.44793579506</v>
      </c>
      <c r="AK79" s="48">
        <f t="shared" si="51"/>
        <v>283807.44793579506</v>
      </c>
    </row>
    <row r="80" spans="1:37" x14ac:dyDescent="0.2">
      <c r="A80" s="63">
        <v>1989</v>
      </c>
      <c r="B80" s="63">
        <v>2</v>
      </c>
      <c r="C80" s="49">
        <v>247783</v>
      </c>
      <c r="D80" s="49">
        <v>247894</v>
      </c>
      <c r="E80" s="49">
        <v>247894</v>
      </c>
      <c r="F80" s="49">
        <v>247894</v>
      </c>
      <c r="G80" s="49">
        <v>247894</v>
      </c>
      <c r="H80" s="49">
        <v>247894</v>
      </c>
      <c r="I80" s="49">
        <v>247894</v>
      </c>
      <c r="J80" s="49">
        <v>247894</v>
      </c>
      <c r="K80" s="49">
        <v>247915</v>
      </c>
      <c r="L80" s="49">
        <v>247915</v>
      </c>
      <c r="M80" s="49">
        <v>247915</v>
      </c>
      <c r="N80" s="49">
        <v>247915</v>
      </c>
      <c r="O80" s="49">
        <v>247915</v>
      </c>
      <c r="P80" s="49">
        <v>247915</v>
      </c>
      <c r="Q80" s="49">
        <f t="shared" si="34"/>
        <v>247915</v>
      </c>
      <c r="R80" s="49">
        <f t="shared" si="34"/>
        <v>247915</v>
      </c>
      <c r="S80" s="49">
        <f t="shared" si="34"/>
        <v>247915</v>
      </c>
      <c r="T80" s="48">
        <f t="shared" si="35"/>
        <v>247915</v>
      </c>
      <c r="U80" s="48">
        <f t="shared" si="52"/>
        <v>247915</v>
      </c>
      <c r="V80" s="48">
        <f t="shared" si="36"/>
        <v>247915</v>
      </c>
      <c r="W80" s="48">
        <f t="shared" si="37"/>
        <v>247915</v>
      </c>
      <c r="X80" s="48">
        <f t="shared" si="38"/>
        <v>247915</v>
      </c>
      <c r="Y80" s="48">
        <f t="shared" si="39"/>
        <v>247915</v>
      </c>
      <c r="Z80" s="48">
        <f t="shared" si="40"/>
        <v>285035.35977752472</v>
      </c>
      <c r="AA80" s="48">
        <f t="shared" si="41"/>
        <v>285035.35977752472</v>
      </c>
      <c r="AB80" s="48">
        <f t="shared" si="42"/>
        <v>285035.35977752472</v>
      </c>
      <c r="AC80" s="48">
        <f t="shared" si="43"/>
        <v>285035.35977752472</v>
      </c>
      <c r="AD80" s="48">
        <f t="shared" si="44"/>
        <v>285035.35977752472</v>
      </c>
      <c r="AE80" s="48">
        <f t="shared" si="45"/>
        <v>285035.35977752472</v>
      </c>
      <c r="AF80" s="48">
        <f t="shared" si="46"/>
        <v>285035.35977752472</v>
      </c>
      <c r="AG80" s="48">
        <f t="shared" si="47"/>
        <v>285035.35977752472</v>
      </c>
      <c r="AH80" s="48">
        <f t="shared" si="48"/>
        <v>285035.35977752472</v>
      </c>
      <c r="AI80" s="48">
        <f t="shared" si="49"/>
        <v>285035.35977752472</v>
      </c>
      <c r="AJ80" s="48">
        <f t="shared" si="50"/>
        <v>285035.35977752472</v>
      </c>
      <c r="AK80" s="48">
        <f t="shared" si="51"/>
        <v>285035.35977752472</v>
      </c>
    </row>
    <row r="81" spans="1:37" x14ac:dyDescent="0.2">
      <c r="A81" s="63">
        <v>1989</v>
      </c>
      <c r="B81" s="63">
        <v>3</v>
      </c>
      <c r="C81" s="49">
        <v>250680</v>
      </c>
      <c r="D81" s="49">
        <v>250433</v>
      </c>
      <c r="E81" s="49">
        <v>250433</v>
      </c>
      <c r="F81" s="49">
        <v>250433</v>
      </c>
      <c r="G81" s="49">
        <v>250433</v>
      </c>
      <c r="H81" s="49">
        <v>250433</v>
      </c>
      <c r="I81" s="49">
        <v>250433</v>
      </c>
      <c r="J81" s="49">
        <v>250433</v>
      </c>
      <c r="K81" s="49">
        <v>250499</v>
      </c>
      <c r="L81" s="49">
        <v>250499</v>
      </c>
      <c r="M81" s="49">
        <v>250499</v>
      </c>
      <c r="N81" s="49">
        <v>250499</v>
      </c>
      <c r="O81" s="49">
        <v>250499</v>
      </c>
      <c r="P81" s="49">
        <v>250499</v>
      </c>
      <c r="Q81" s="49">
        <f t="shared" si="34"/>
        <v>250499</v>
      </c>
      <c r="R81" s="49">
        <f t="shared" si="34"/>
        <v>250499</v>
      </c>
      <c r="S81" s="49">
        <f t="shared" si="34"/>
        <v>250499</v>
      </c>
      <c r="T81" s="48">
        <f t="shared" si="35"/>
        <v>250499</v>
      </c>
      <c r="U81" s="48">
        <f t="shared" si="52"/>
        <v>250499</v>
      </c>
      <c r="V81" s="48">
        <f t="shared" si="36"/>
        <v>250499</v>
      </c>
      <c r="W81" s="48">
        <f t="shared" si="37"/>
        <v>250499</v>
      </c>
      <c r="X81" s="48">
        <f t="shared" si="38"/>
        <v>250499</v>
      </c>
      <c r="Y81" s="48">
        <f t="shared" si="39"/>
        <v>250499</v>
      </c>
      <c r="Z81" s="48">
        <f t="shared" si="40"/>
        <v>288006.26258560462</v>
      </c>
      <c r="AA81" s="48">
        <f t="shared" si="41"/>
        <v>288006.26258560462</v>
      </c>
      <c r="AB81" s="48">
        <f t="shared" si="42"/>
        <v>288006.26258560462</v>
      </c>
      <c r="AC81" s="48">
        <f t="shared" si="43"/>
        <v>288006.26258560462</v>
      </c>
      <c r="AD81" s="48">
        <f t="shared" si="44"/>
        <v>288006.26258560462</v>
      </c>
      <c r="AE81" s="48">
        <f t="shared" si="45"/>
        <v>288006.26258560462</v>
      </c>
      <c r="AF81" s="48">
        <f t="shared" si="46"/>
        <v>288006.26258560462</v>
      </c>
      <c r="AG81" s="48">
        <f t="shared" si="47"/>
        <v>288006.26258560462</v>
      </c>
      <c r="AH81" s="48">
        <f t="shared" si="48"/>
        <v>288006.26258560462</v>
      </c>
      <c r="AI81" s="48">
        <f t="shared" si="49"/>
        <v>288006.26258560462</v>
      </c>
      <c r="AJ81" s="48">
        <f t="shared" si="50"/>
        <v>288006.26258560462</v>
      </c>
      <c r="AK81" s="48">
        <f t="shared" si="51"/>
        <v>288006.26258560462</v>
      </c>
    </row>
    <row r="82" spans="1:37" x14ac:dyDescent="0.2">
      <c r="A82" s="63">
        <v>1989</v>
      </c>
      <c r="B82" s="63">
        <v>4</v>
      </c>
      <c r="C82" s="49">
        <v>253092</v>
      </c>
      <c r="D82" s="49">
        <v>253085</v>
      </c>
      <c r="E82" s="49">
        <v>253085</v>
      </c>
      <c r="F82" s="49">
        <v>253085</v>
      </c>
      <c r="G82" s="49">
        <v>253085</v>
      </c>
      <c r="H82" s="49">
        <v>253085</v>
      </c>
      <c r="I82" s="49">
        <v>253085</v>
      </c>
      <c r="J82" s="49">
        <v>253085</v>
      </c>
      <c r="K82" s="49">
        <v>253077</v>
      </c>
      <c r="L82" s="49">
        <v>253077</v>
      </c>
      <c r="M82" s="49">
        <v>253077</v>
      </c>
      <c r="N82" s="49">
        <v>253077</v>
      </c>
      <c r="O82" s="49">
        <v>253077</v>
      </c>
      <c r="P82" s="49">
        <v>253077</v>
      </c>
      <c r="Q82" s="49">
        <f t="shared" si="34"/>
        <v>253077</v>
      </c>
      <c r="R82" s="49">
        <f t="shared" si="34"/>
        <v>253077</v>
      </c>
      <c r="S82" s="49">
        <f t="shared" si="34"/>
        <v>253077</v>
      </c>
      <c r="T82" s="48">
        <f t="shared" si="35"/>
        <v>253077</v>
      </c>
      <c r="U82" s="48">
        <f t="shared" si="52"/>
        <v>253077</v>
      </c>
      <c r="V82" s="48">
        <f t="shared" si="36"/>
        <v>253077</v>
      </c>
      <c r="W82" s="48">
        <f t="shared" si="37"/>
        <v>253077</v>
      </c>
      <c r="X82" s="48">
        <f t="shared" si="38"/>
        <v>253077</v>
      </c>
      <c r="Y82" s="48">
        <f t="shared" si="39"/>
        <v>253077</v>
      </c>
      <c r="Z82" s="48">
        <f t="shared" si="40"/>
        <v>290970.26701255119</v>
      </c>
      <c r="AA82" s="48">
        <f t="shared" si="41"/>
        <v>290970.26701255119</v>
      </c>
      <c r="AB82" s="48">
        <f t="shared" si="42"/>
        <v>290970.26701255119</v>
      </c>
      <c r="AC82" s="48">
        <f t="shared" si="43"/>
        <v>290970.26701255119</v>
      </c>
      <c r="AD82" s="48">
        <f t="shared" si="44"/>
        <v>290970.26701255119</v>
      </c>
      <c r="AE82" s="48">
        <f t="shared" si="45"/>
        <v>290970.26701255119</v>
      </c>
      <c r="AF82" s="48">
        <f t="shared" si="46"/>
        <v>290970.26701255119</v>
      </c>
      <c r="AG82" s="48">
        <f t="shared" si="47"/>
        <v>290970.26701255119</v>
      </c>
      <c r="AH82" s="48">
        <f t="shared" si="48"/>
        <v>290970.26701255119</v>
      </c>
      <c r="AI82" s="48">
        <f t="shared" si="49"/>
        <v>290970.26701255119</v>
      </c>
      <c r="AJ82" s="48">
        <f t="shared" si="50"/>
        <v>290970.26701255119</v>
      </c>
      <c r="AK82" s="48">
        <f t="shared" si="51"/>
        <v>290970.26701255119</v>
      </c>
    </row>
    <row r="83" spans="1:37" x14ac:dyDescent="0.2">
      <c r="A83" s="63">
        <v>1990</v>
      </c>
      <c r="B83" s="63">
        <v>1</v>
      </c>
      <c r="C83" s="49">
        <v>254016</v>
      </c>
      <c r="D83" s="49">
        <v>254107</v>
      </c>
      <c r="E83" s="49">
        <v>254107</v>
      </c>
      <c r="F83" s="49">
        <v>254107</v>
      </c>
      <c r="G83" s="49">
        <v>254107</v>
      </c>
      <c r="H83" s="49">
        <v>254107</v>
      </c>
      <c r="I83" s="49">
        <v>254107</v>
      </c>
      <c r="J83" s="49">
        <v>254107</v>
      </c>
      <c r="K83" s="49">
        <v>254086</v>
      </c>
      <c r="L83" s="49">
        <v>254086</v>
      </c>
      <c r="M83" s="49">
        <v>254086</v>
      </c>
      <c r="N83" s="49">
        <v>254086</v>
      </c>
      <c r="O83" s="49">
        <v>254086</v>
      </c>
      <c r="P83" s="49">
        <v>254086</v>
      </c>
      <c r="Q83" s="49">
        <f t="shared" si="34"/>
        <v>254086</v>
      </c>
      <c r="R83" s="49">
        <f t="shared" si="34"/>
        <v>254086</v>
      </c>
      <c r="S83" s="49">
        <f t="shared" si="34"/>
        <v>254086</v>
      </c>
      <c r="T83" s="48">
        <f t="shared" si="35"/>
        <v>254086</v>
      </c>
      <c r="U83" s="48">
        <f t="shared" si="52"/>
        <v>254086</v>
      </c>
      <c r="V83" s="48">
        <f t="shared" si="36"/>
        <v>254086</v>
      </c>
      <c r="W83" s="48">
        <f t="shared" si="37"/>
        <v>254086</v>
      </c>
      <c r="X83" s="48">
        <f t="shared" si="38"/>
        <v>254086</v>
      </c>
      <c r="Y83" s="48">
        <f t="shared" si="39"/>
        <v>254086</v>
      </c>
      <c r="Z83" s="48">
        <f t="shared" si="40"/>
        <v>292130.34477313654</v>
      </c>
      <c r="AA83" s="48">
        <f t="shared" si="41"/>
        <v>292130.34477313654</v>
      </c>
      <c r="AB83" s="48">
        <f t="shared" si="42"/>
        <v>292130.34477313654</v>
      </c>
      <c r="AC83" s="48">
        <f t="shared" si="43"/>
        <v>292130.34477313654</v>
      </c>
      <c r="AD83" s="48">
        <f t="shared" si="44"/>
        <v>292130.34477313654</v>
      </c>
      <c r="AE83" s="48">
        <f t="shared" si="45"/>
        <v>292130.34477313654</v>
      </c>
      <c r="AF83" s="48">
        <f t="shared" si="46"/>
        <v>292130.34477313654</v>
      </c>
      <c r="AG83" s="48">
        <f t="shared" si="47"/>
        <v>292130.34477313654</v>
      </c>
      <c r="AH83" s="48">
        <f t="shared" si="48"/>
        <v>292130.34477313654</v>
      </c>
      <c r="AI83" s="48">
        <f t="shared" si="49"/>
        <v>292130.34477313654</v>
      </c>
      <c r="AJ83" s="48">
        <f t="shared" si="50"/>
        <v>292130.34477313654</v>
      </c>
      <c r="AK83" s="48">
        <f t="shared" si="51"/>
        <v>292130.34477313654</v>
      </c>
    </row>
    <row r="84" spans="1:37" x14ac:dyDescent="0.2">
      <c r="A84" s="63">
        <v>1990</v>
      </c>
      <c r="B84" s="63">
        <v>2</v>
      </c>
      <c r="C84" s="49">
        <v>254834</v>
      </c>
      <c r="D84" s="49">
        <v>254805</v>
      </c>
      <c r="E84" s="49">
        <v>254805</v>
      </c>
      <c r="F84" s="49">
        <v>254805</v>
      </c>
      <c r="G84" s="49">
        <v>254805</v>
      </c>
      <c r="H84" s="49">
        <v>254805</v>
      </c>
      <c r="I84" s="49">
        <v>254805</v>
      </c>
      <c r="J84" s="49">
        <v>254805</v>
      </c>
      <c r="K84" s="49">
        <v>254860</v>
      </c>
      <c r="L84" s="49">
        <v>254860</v>
      </c>
      <c r="M84" s="49">
        <v>254860</v>
      </c>
      <c r="N84" s="49">
        <v>254860</v>
      </c>
      <c r="O84" s="49">
        <v>254860</v>
      </c>
      <c r="P84" s="49">
        <v>254860</v>
      </c>
      <c r="Q84" s="49">
        <f t="shared" si="34"/>
        <v>254860</v>
      </c>
      <c r="R84" s="49">
        <f t="shared" si="34"/>
        <v>254860</v>
      </c>
      <c r="S84" s="49">
        <f t="shared" si="34"/>
        <v>254860</v>
      </c>
      <c r="T84" s="48">
        <f t="shared" si="35"/>
        <v>254860</v>
      </c>
      <c r="U84" s="48">
        <f t="shared" si="52"/>
        <v>254860</v>
      </c>
      <c r="V84" s="48">
        <f t="shared" si="36"/>
        <v>254860</v>
      </c>
      <c r="W84" s="48">
        <f t="shared" si="37"/>
        <v>254860</v>
      </c>
      <c r="X84" s="48">
        <f t="shared" si="38"/>
        <v>254860</v>
      </c>
      <c r="Y84" s="48">
        <f t="shared" si="39"/>
        <v>254860</v>
      </c>
      <c r="Z84" s="48">
        <f t="shared" si="40"/>
        <v>293020.23593933386</v>
      </c>
      <c r="AA84" s="48">
        <f t="shared" si="41"/>
        <v>293020.23593933386</v>
      </c>
      <c r="AB84" s="48">
        <f t="shared" si="42"/>
        <v>293020.23593933386</v>
      </c>
      <c r="AC84" s="48">
        <f t="shared" si="43"/>
        <v>293020.23593933386</v>
      </c>
      <c r="AD84" s="48">
        <f t="shared" si="44"/>
        <v>293020.23593933386</v>
      </c>
      <c r="AE84" s="48">
        <f t="shared" si="45"/>
        <v>293020.23593933386</v>
      </c>
      <c r="AF84" s="48">
        <f t="shared" si="46"/>
        <v>293020.23593933386</v>
      </c>
      <c r="AG84" s="48">
        <f t="shared" si="47"/>
        <v>293020.23593933386</v>
      </c>
      <c r="AH84" s="48">
        <f t="shared" si="48"/>
        <v>293020.23593933386</v>
      </c>
      <c r="AI84" s="48">
        <f t="shared" si="49"/>
        <v>293020.23593933386</v>
      </c>
      <c r="AJ84" s="48">
        <f t="shared" si="50"/>
        <v>293020.23593933386</v>
      </c>
      <c r="AK84" s="48">
        <f t="shared" si="51"/>
        <v>293020.23593933386</v>
      </c>
    </row>
    <row r="85" spans="1:37" x14ac:dyDescent="0.2">
      <c r="A85" s="63">
        <v>1990</v>
      </c>
      <c r="B85" s="63">
        <v>3</v>
      </c>
      <c r="C85" s="49">
        <v>255265</v>
      </c>
      <c r="D85" s="49">
        <v>255202</v>
      </c>
      <c r="E85" s="49">
        <v>255202</v>
      </c>
      <c r="F85" s="49">
        <v>255202</v>
      </c>
      <c r="G85" s="49">
        <v>255202</v>
      </c>
      <c r="H85" s="49">
        <v>255202</v>
      </c>
      <c r="I85" s="49">
        <v>255202</v>
      </c>
      <c r="J85" s="49">
        <v>255202</v>
      </c>
      <c r="K85" s="49">
        <v>255269</v>
      </c>
      <c r="L85" s="49">
        <v>255269</v>
      </c>
      <c r="M85" s="49">
        <v>255269</v>
      </c>
      <c r="N85" s="49">
        <v>255269</v>
      </c>
      <c r="O85" s="49">
        <v>255269</v>
      </c>
      <c r="P85" s="49">
        <v>255269</v>
      </c>
      <c r="Q85" s="49">
        <f t="shared" si="34"/>
        <v>255269</v>
      </c>
      <c r="R85" s="49">
        <f t="shared" si="34"/>
        <v>255269</v>
      </c>
      <c r="S85" s="49">
        <f t="shared" si="34"/>
        <v>255269</v>
      </c>
      <c r="T85" s="48">
        <f t="shared" si="35"/>
        <v>255269</v>
      </c>
      <c r="U85" s="48">
        <f t="shared" si="52"/>
        <v>255269</v>
      </c>
      <c r="V85" s="48">
        <f t="shared" si="36"/>
        <v>255269</v>
      </c>
      <c r="W85" s="48">
        <f t="shared" si="37"/>
        <v>255269</v>
      </c>
      <c r="X85" s="48">
        <f t="shared" si="38"/>
        <v>255269</v>
      </c>
      <c r="Y85" s="48">
        <f t="shared" si="39"/>
        <v>255269</v>
      </c>
      <c r="Z85" s="48">
        <f t="shared" si="40"/>
        <v>293490.47558658803</v>
      </c>
      <c r="AA85" s="48">
        <f t="shared" si="41"/>
        <v>293490.47558658803</v>
      </c>
      <c r="AB85" s="48">
        <f t="shared" si="42"/>
        <v>293490.47558658803</v>
      </c>
      <c r="AC85" s="48">
        <f t="shared" si="43"/>
        <v>293490.47558658803</v>
      </c>
      <c r="AD85" s="48">
        <f t="shared" si="44"/>
        <v>293490.47558658803</v>
      </c>
      <c r="AE85" s="48">
        <f t="shared" si="45"/>
        <v>293490.47558658803</v>
      </c>
      <c r="AF85" s="48">
        <f t="shared" si="46"/>
        <v>293490.47558658803</v>
      </c>
      <c r="AG85" s="48">
        <f t="shared" si="47"/>
        <v>293490.47558658803</v>
      </c>
      <c r="AH85" s="48">
        <f t="shared" si="48"/>
        <v>293490.47558658803</v>
      </c>
      <c r="AI85" s="48">
        <f t="shared" si="49"/>
        <v>293490.47558658803</v>
      </c>
      <c r="AJ85" s="48">
        <f t="shared" si="50"/>
        <v>293490.47558658803</v>
      </c>
      <c r="AK85" s="48">
        <f t="shared" si="51"/>
        <v>293490.47558658803</v>
      </c>
    </row>
    <row r="86" spans="1:37" x14ac:dyDescent="0.2">
      <c r="A86" s="63">
        <v>1990</v>
      </c>
      <c r="B86" s="63">
        <v>4</v>
      </c>
      <c r="C86" s="49">
        <v>253545</v>
      </c>
      <c r="D86" s="49">
        <v>253546</v>
      </c>
      <c r="E86" s="49">
        <v>253546</v>
      </c>
      <c r="F86" s="49">
        <v>253546</v>
      </c>
      <c r="G86" s="49">
        <v>253546</v>
      </c>
      <c r="H86" s="49">
        <v>253546</v>
      </c>
      <c r="I86" s="49">
        <v>253546</v>
      </c>
      <c r="J86" s="49">
        <v>253546</v>
      </c>
      <c r="K86" s="49">
        <v>253611</v>
      </c>
      <c r="L86" s="49">
        <v>253611</v>
      </c>
      <c r="M86" s="49">
        <v>253611</v>
      </c>
      <c r="N86" s="49">
        <v>253611</v>
      </c>
      <c r="O86" s="49">
        <v>253611</v>
      </c>
      <c r="P86" s="49">
        <v>253611</v>
      </c>
      <c r="Q86" s="49">
        <f t="shared" si="34"/>
        <v>253611</v>
      </c>
      <c r="R86" s="49">
        <f t="shared" si="34"/>
        <v>253611</v>
      </c>
      <c r="S86" s="49">
        <f t="shared" si="34"/>
        <v>253611</v>
      </c>
      <c r="T86" s="48">
        <f t="shared" si="35"/>
        <v>253611</v>
      </c>
      <c r="U86" s="48">
        <f t="shared" si="52"/>
        <v>253611</v>
      </c>
      <c r="V86" s="48">
        <f t="shared" si="36"/>
        <v>253611</v>
      </c>
      <c r="W86" s="48">
        <f t="shared" si="37"/>
        <v>253611</v>
      </c>
      <c r="X86" s="48">
        <f t="shared" si="38"/>
        <v>253611</v>
      </c>
      <c r="Y86" s="48">
        <f t="shared" si="39"/>
        <v>253611</v>
      </c>
      <c r="Z86" s="48">
        <f t="shared" si="40"/>
        <v>291584.22293341602</v>
      </c>
      <c r="AA86" s="48">
        <f t="shared" si="41"/>
        <v>291584.22293341602</v>
      </c>
      <c r="AB86" s="48">
        <f t="shared" si="42"/>
        <v>291584.22293341602</v>
      </c>
      <c r="AC86" s="48">
        <f t="shared" si="43"/>
        <v>291584.22293341602</v>
      </c>
      <c r="AD86" s="48">
        <f t="shared" si="44"/>
        <v>291584.22293341602</v>
      </c>
      <c r="AE86" s="48">
        <f t="shared" si="45"/>
        <v>291584.22293341602</v>
      </c>
      <c r="AF86" s="48">
        <f t="shared" si="46"/>
        <v>291584.22293341602</v>
      </c>
      <c r="AG86" s="48">
        <f t="shared" si="47"/>
        <v>291584.22293341602</v>
      </c>
      <c r="AH86" s="48">
        <f t="shared" si="48"/>
        <v>291584.22293341602</v>
      </c>
      <c r="AI86" s="48">
        <f t="shared" si="49"/>
        <v>291584.22293341602</v>
      </c>
      <c r="AJ86" s="48">
        <f t="shared" si="50"/>
        <v>291584.22293341602</v>
      </c>
      <c r="AK86" s="48">
        <f t="shared" si="51"/>
        <v>291584.22293341602</v>
      </c>
    </row>
    <row r="87" spans="1:37" x14ac:dyDescent="0.2">
      <c r="A87" s="63">
        <v>1991</v>
      </c>
      <c r="B87" s="63">
        <v>1</v>
      </c>
      <c r="C87" s="49">
        <v>256011</v>
      </c>
      <c r="D87" s="49">
        <v>256024</v>
      </c>
      <c r="E87" s="49">
        <v>256024</v>
      </c>
      <c r="F87" s="49">
        <v>256024</v>
      </c>
      <c r="G87" s="49">
        <v>256024</v>
      </c>
      <c r="H87" s="49">
        <v>256024</v>
      </c>
      <c r="I87" s="49">
        <v>256024</v>
      </c>
      <c r="J87" s="49">
        <v>256024</v>
      </c>
      <c r="K87" s="49">
        <v>256147</v>
      </c>
      <c r="L87" s="49">
        <v>256147</v>
      </c>
      <c r="M87" s="49">
        <v>256147</v>
      </c>
      <c r="N87" s="49">
        <v>256147</v>
      </c>
      <c r="O87" s="49">
        <v>256147</v>
      </c>
      <c r="P87" s="49">
        <v>256147</v>
      </c>
      <c r="Q87" s="49">
        <f t="shared" si="34"/>
        <v>256147</v>
      </c>
      <c r="R87" s="49">
        <f t="shared" si="34"/>
        <v>256147</v>
      </c>
      <c r="S87" s="49">
        <f t="shared" si="34"/>
        <v>256147</v>
      </c>
      <c r="T87" s="48">
        <f t="shared" si="35"/>
        <v>256147</v>
      </c>
      <c r="U87" s="48">
        <f t="shared" si="52"/>
        <v>256147</v>
      </c>
      <c r="V87" s="48">
        <f t="shared" si="36"/>
        <v>256147</v>
      </c>
      <c r="W87" s="48">
        <f t="shared" si="37"/>
        <v>256147</v>
      </c>
      <c r="X87" s="48">
        <f t="shared" si="38"/>
        <v>256147</v>
      </c>
      <c r="Y87" s="48">
        <f t="shared" si="39"/>
        <v>256147</v>
      </c>
      <c r="Z87" s="48">
        <f t="shared" si="40"/>
        <v>294499.93869242939</v>
      </c>
      <c r="AA87" s="48">
        <f t="shared" si="41"/>
        <v>294499.93869242939</v>
      </c>
      <c r="AB87" s="48">
        <f t="shared" si="42"/>
        <v>294499.93869242939</v>
      </c>
      <c r="AC87" s="48">
        <f t="shared" si="43"/>
        <v>294499.93869242939</v>
      </c>
      <c r="AD87" s="48">
        <f t="shared" si="44"/>
        <v>294499.93869242939</v>
      </c>
      <c r="AE87" s="48">
        <f t="shared" si="45"/>
        <v>294499.93869242939</v>
      </c>
      <c r="AF87" s="48">
        <f t="shared" si="46"/>
        <v>294499.93869242939</v>
      </c>
      <c r="AG87" s="48">
        <f t="shared" si="47"/>
        <v>294499.93869242939</v>
      </c>
      <c r="AH87" s="48">
        <f t="shared" si="48"/>
        <v>294499.93869242939</v>
      </c>
      <c r="AI87" s="48">
        <f t="shared" si="49"/>
        <v>294499.93869242939</v>
      </c>
      <c r="AJ87" s="48">
        <f t="shared" si="50"/>
        <v>294499.93869242939</v>
      </c>
      <c r="AK87" s="48">
        <f t="shared" si="51"/>
        <v>294499.93869242939</v>
      </c>
    </row>
    <row r="88" spans="1:37" x14ac:dyDescent="0.2">
      <c r="A88" s="63">
        <v>1991</v>
      </c>
      <c r="B88" s="63">
        <v>2</v>
      </c>
      <c r="C88" s="49">
        <v>257417</v>
      </c>
      <c r="D88" s="49">
        <v>257407</v>
      </c>
      <c r="E88" s="49">
        <v>257407</v>
      </c>
      <c r="F88" s="49">
        <v>257407</v>
      </c>
      <c r="G88" s="49">
        <v>257407</v>
      </c>
      <c r="H88" s="49">
        <v>257407</v>
      </c>
      <c r="I88" s="49">
        <v>257407</v>
      </c>
      <c r="J88" s="49">
        <v>257407</v>
      </c>
      <c r="K88" s="49">
        <v>257536</v>
      </c>
      <c r="L88" s="49">
        <v>257536</v>
      </c>
      <c r="M88" s="49">
        <v>257536</v>
      </c>
      <c r="N88" s="49">
        <v>257536</v>
      </c>
      <c r="O88" s="49">
        <v>257536</v>
      </c>
      <c r="P88" s="49">
        <v>257536</v>
      </c>
      <c r="Q88" s="49">
        <f t="shared" si="34"/>
        <v>257536</v>
      </c>
      <c r="R88" s="49">
        <f t="shared" si="34"/>
        <v>257536</v>
      </c>
      <c r="S88" s="49">
        <f t="shared" si="34"/>
        <v>257536</v>
      </c>
      <c r="T88" s="48">
        <f t="shared" si="35"/>
        <v>257536</v>
      </c>
      <c r="U88" s="48">
        <f t="shared" si="52"/>
        <v>257536</v>
      </c>
      <c r="V88" s="48">
        <f t="shared" si="36"/>
        <v>257536</v>
      </c>
      <c r="W88" s="48">
        <f t="shared" si="37"/>
        <v>257536</v>
      </c>
      <c r="X88" s="48">
        <f t="shared" si="38"/>
        <v>257536</v>
      </c>
      <c r="Y88" s="48">
        <f t="shared" si="39"/>
        <v>257536</v>
      </c>
      <c r="Z88" s="48">
        <f t="shared" si="40"/>
        <v>296096.91392479121</v>
      </c>
      <c r="AA88" s="48">
        <f t="shared" si="41"/>
        <v>296096.91392479121</v>
      </c>
      <c r="AB88" s="48">
        <f t="shared" si="42"/>
        <v>296096.91392479121</v>
      </c>
      <c r="AC88" s="48">
        <f t="shared" si="43"/>
        <v>296096.91392479121</v>
      </c>
      <c r="AD88" s="48">
        <f t="shared" si="44"/>
        <v>296096.91392479121</v>
      </c>
      <c r="AE88" s="48">
        <f t="shared" si="45"/>
        <v>296096.91392479121</v>
      </c>
      <c r="AF88" s="48">
        <f t="shared" si="46"/>
        <v>296096.91392479121</v>
      </c>
      <c r="AG88" s="48">
        <f t="shared" si="47"/>
        <v>296096.91392479121</v>
      </c>
      <c r="AH88" s="48">
        <f t="shared" si="48"/>
        <v>296096.91392479121</v>
      </c>
      <c r="AI88" s="48">
        <f t="shared" si="49"/>
        <v>296096.91392479121</v>
      </c>
      <c r="AJ88" s="48">
        <f t="shared" si="50"/>
        <v>296096.91392479121</v>
      </c>
      <c r="AK88" s="48">
        <f t="shared" si="51"/>
        <v>296096.91392479121</v>
      </c>
    </row>
    <row r="89" spans="1:37" x14ac:dyDescent="0.2">
      <c r="A89" s="63">
        <v>1991</v>
      </c>
      <c r="B89" s="63">
        <v>3</v>
      </c>
      <c r="C89" s="49">
        <v>259391</v>
      </c>
      <c r="D89" s="49">
        <v>259283</v>
      </c>
      <c r="E89" s="49">
        <v>259283</v>
      </c>
      <c r="F89" s="49">
        <v>259283</v>
      </c>
      <c r="G89" s="49">
        <v>259283</v>
      </c>
      <c r="H89" s="49">
        <v>259283</v>
      </c>
      <c r="I89" s="49">
        <v>259283</v>
      </c>
      <c r="J89" s="49">
        <v>259283</v>
      </c>
      <c r="K89" s="49">
        <v>259220</v>
      </c>
      <c r="L89" s="49">
        <v>259220</v>
      </c>
      <c r="M89" s="49">
        <v>259220</v>
      </c>
      <c r="N89" s="49">
        <v>259220</v>
      </c>
      <c r="O89" s="49">
        <v>259220</v>
      </c>
      <c r="P89" s="49">
        <v>259220</v>
      </c>
      <c r="Q89" s="49">
        <f t="shared" si="34"/>
        <v>259220</v>
      </c>
      <c r="R89" s="49">
        <f t="shared" si="34"/>
        <v>259220</v>
      </c>
      <c r="S89" s="49">
        <f t="shared" si="34"/>
        <v>259220</v>
      </c>
      <c r="T89" s="48">
        <f t="shared" si="35"/>
        <v>259220</v>
      </c>
      <c r="U89" s="48">
        <f t="shared" si="52"/>
        <v>259220</v>
      </c>
      <c r="V89" s="48">
        <f t="shared" si="36"/>
        <v>259220</v>
      </c>
      <c r="W89" s="48">
        <f t="shared" si="37"/>
        <v>259220</v>
      </c>
      <c r="X89" s="48">
        <f t="shared" si="38"/>
        <v>259220</v>
      </c>
      <c r="Y89" s="48">
        <f t="shared" si="39"/>
        <v>259220</v>
      </c>
      <c r="Z89" s="48">
        <f t="shared" si="40"/>
        <v>298033.05956287426</v>
      </c>
      <c r="AA89" s="48">
        <f t="shared" si="41"/>
        <v>298033.05956287426</v>
      </c>
      <c r="AB89" s="48">
        <f t="shared" si="42"/>
        <v>298033.05956287426</v>
      </c>
      <c r="AC89" s="48">
        <f t="shared" si="43"/>
        <v>298033.05956287426</v>
      </c>
      <c r="AD89" s="48">
        <f t="shared" si="44"/>
        <v>298033.05956287426</v>
      </c>
      <c r="AE89" s="48">
        <f t="shared" si="45"/>
        <v>298033.05956287426</v>
      </c>
      <c r="AF89" s="48">
        <f t="shared" si="46"/>
        <v>298033.05956287426</v>
      </c>
      <c r="AG89" s="48">
        <f t="shared" si="47"/>
        <v>298033.05956287426</v>
      </c>
      <c r="AH89" s="48">
        <f t="shared" si="48"/>
        <v>298033.05956287426</v>
      </c>
      <c r="AI89" s="48">
        <f t="shared" si="49"/>
        <v>298033.05956287426</v>
      </c>
      <c r="AJ89" s="48">
        <f t="shared" si="50"/>
        <v>298033.05956287426</v>
      </c>
      <c r="AK89" s="48">
        <f t="shared" si="51"/>
        <v>298033.05956287426</v>
      </c>
    </row>
    <row r="90" spans="1:37" x14ac:dyDescent="0.2">
      <c r="A90" s="63">
        <v>1991</v>
      </c>
      <c r="B90" s="63">
        <v>4</v>
      </c>
      <c r="C90" s="49">
        <v>260455</v>
      </c>
      <c r="D90" s="49">
        <v>260561</v>
      </c>
      <c r="E90" s="49">
        <v>260561</v>
      </c>
      <c r="F90" s="49">
        <v>260561</v>
      </c>
      <c r="G90" s="49">
        <v>260561</v>
      </c>
      <c r="H90" s="49">
        <v>260561</v>
      </c>
      <c r="I90" s="49">
        <v>260561</v>
      </c>
      <c r="J90" s="49">
        <v>260561</v>
      </c>
      <c r="K90" s="49">
        <v>260519</v>
      </c>
      <c r="L90" s="49">
        <v>260519</v>
      </c>
      <c r="M90" s="49">
        <v>260519</v>
      </c>
      <c r="N90" s="49">
        <v>260519</v>
      </c>
      <c r="O90" s="49">
        <v>260519</v>
      </c>
      <c r="P90" s="49">
        <v>260519</v>
      </c>
      <c r="Q90" s="49">
        <f t="shared" si="34"/>
        <v>260519</v>
      </c>
      <c r="R90" s="49">
        <f t="shared" si="34"/>
        <v>260519</v>
      </c>
      <c r="S90" s="49">
        <f t="shared" si="34"/>
        <v>260519</v>
      </c>
      <c r="T90" s="48">
        <f t="shared" si="35"/>
        <v>260519</v>
      </c>
      <c r="U90" s="48">
        <f t="shared" si="52"/>
        <v>260519</v>
      </c>
      <c r="V90" s="48">
        <f t="shared" si="36"/>
        <v>260519</v>
      </c>
      <c r="W90" s="48">
        <f t="shared" si="37"/>
        <v>260519</v>
      </c>
      <c r="X90" s="48">
        <f t="shared" si="38"/>
        <v>260519</v>
      </c>
      <c r="Y90" s="48">
        <f t="shared" si="39"/>
        <v>260519</v>
      </c>
      <c r="Z90" s="48">
        <f t="shared" si="40"/>
        <v>299526.5590782364</v>
      </c>
      <c r="AA90" s="48">
        <f t="shared" si="41"/>
        <v>299526.5590782364</v>
      </c>
      <c r="AB90" s="48">
        <f t="shared" si="42"/>
        <v>299526.5590782364</v>
      </c>
      <c r="AC90" s="48">
        <f t="shared" si="43"/>
        <v>299526.5590782364</v>
      </c>
      <c r="AD90" s="48">
        <f t="shared" si="44"/>
        <v>299526.5590782364</v>
      </c>
      <c r="AE90" s="48">
        <f t="shared" si="45"/>
        <v>299526.5590782364</v>
      </c>
      <c r="AF90" s="48">
        <f t="shared" si="46"/>
        <v>299526.5590782364</v>
      </c>
      <c r="AG90" s="48">
        <f t="shared" si="47"/>
        <v>299526.5590782364</v>
      </c>
      <c r="AH90" s="48">
        <f t="shared" si="48"/>
        <v>299526.5590782364</v>
      </c>
      <c r="AI90" s="48">
        <f t="shared" si="49"/>
        <v>299526.5590782364</v>
      </c>
      <c r="AJ90" s="48">
        <f t="shared" si="50"/>
        <v>299526.5590782364</v>
      </c>
      <c r="AK90" s="48">
        <f t="shared" si="51"/>
        <v>299526.5590782364</v>
      </c>
    </row>
    <row r="91" spans="1:37" x14ac:dyDescent="0.2">
      <c r="A91" s="63">
        <v>1992</v>
      </c>
      <c r="B91" s="63">
        <v>1</v>
      </c>
      <c r="C91" s="49">
        <v>261691</v>
      </c>
      <c r="D91" s="49">
        <v>261619</v>
      </c>
      <c r="E91" s="49">
        <v>261619</v>
      </c>
      <c r="F91" s="49">
        <v>261619</v>
      </c>
      <c r="G91" s="49">
        <v>261619</v>
      </c>
      <c r="H91" s="49">
        <v>261619</v>
      </c>
      <c r="I91" s="49">
        <v>261619</v>
      </c>
      <c r="J91" s="49">
        <v>261619</v>
      </c>
      <c r="K91" s="49">
        <v>261684</v>
      </c>
      <c r="L91" s="49">
        <v>261684</v>
      </c>
      <c r="M91" s="49">
        <v>261684</v>
      </c>
      <c r="N91" s="49">
        <v>261684</v>
      </c>
      <c r="O91" s="49">
        <v>261684</v>
      </c>
      <c r="P91" s="49">
        <v>261684</v>
      </c>
      <c r="Q91" s="49">
        <f t="shared" si="34"/>
        <v>261684</v>
      </c>
      <c r="R91" s="49">
        <f t="shared" si="34"/>
        <v>261684</v>
      </c>
      <c r="S91" s="49">
        <f t="shared" si="34"/>
        <v>261684</v>
      </c>
      <c r="T91" s="48">
        <f t="shared" si="35"/>
        <v>261684</v>
      </c>
      <c r="U91" s="48">
        <f t="shared" si="52"/>
        <v>261684</v>
      </c>
      <c r="V91" s="48">
        <f t="shared" si="36"/>
        <v>261684</v>
      </c>
      <c r="W91" s="48">
        <f t="shared" si="37"/>
        <v>261684</v>
      </c>
      <c r="X91" s="48">
        <f t="shared" si="38"/>
        <v>261684</v>
      </c>
      <c r="Y91" s="48">
        <f t="shared" si="39"/>
        <v>261684</v>
      </c>
      <c r="Z91" s="48">
        <f t="shared" si="40"/>
        <v>300865.99474828789</v>
      </c>
      <c r="AA91" s="48">
        <f t="shared" si="41"/>
        <v>300865.99474828789</v>
      </c>
      <c r="AB91" s="48">
        <f t="shared" si="42"/>
        <v>300865.99474828789</v>
      </c>
      <c r="AC91" s="48">
        <f t="shared" si="43"/>
        <v>300865.99474828789</v>
      </c>
      <c r="AD91" s="48">
        <f t="shared" si="44"/>
        <v>300865.99474828789</v>
      </c>
      <c r="AE91" s="48">
        <f t="shared" si="45"/>
        <v>300865.99474828789</v>
      </c>
      <c r="AF91" s="48">
        <f t="shared" si="46"/>
        <v>300865.99474828789</v>
      </c>
      <c r="AG91" s="48">
        <f t="shared" si="47"/>
        <v>300865.99474828789</v>
      </c>
      <c r="AH91" s="48">
        <f t="shared" si="48"/>
        <v>300865.99474828789</v>
      </c>
      <c r="AI91" s="48">
        <f t="shared" si="49"/>
        <v>300865.99474828789</v>
      </c>
      <c r="AJ91" s="48">
        <f t="shared" si="50"/>
        <v>300865.99474828789</v>
      </c>
      <c r="AK91" s="48">
        <f t="shared" si="51"/>
        <v>300865.99474828789</v>
      </c>
    </row>
    <row r="92" spans="1:37" x14ac:dyDescent="0.2">
      <c r="A92" s="63">
        <v>1992</v>
      </c>
      <c r="B92" s="63">
        <v>2</v>
      </c>
      <c r="C92" s="49">
        <v>260666</v>
      </c>
      <c r="D92" s="49">
        <v>260495</v>
      </c>
      <c r="E92" s="49">
        <v>260495</v>
      </c>
      <c r="F92" s="49">
        <v>260495</v>
      </c>
      <c r="G92" s="49">
        <v>260495</v>
      </c>
      <c r="H92" s="49">
        <v>260495</v>
      </c>
      <c r="I92" s="49">
        <v>260495</v>
      </c>
      <c r="J92" s="49">
        <v>260495</v>
      </c>
      <c r="K92" s="49">
        <v>260563</v>
      </c>
      <c r="L92" s="49">
        <v>260563</v>
      </c>
      <c r="M92" s="49">
        <v>260563</v>
      </c>
      <c r="N92" s="49">
        <v>260563</v>
      </c>
      <c r="O92" s="49">
        <v>260563</v>
      </c>
      <c r="P92" s="49">
        <v>260563</v>
      </c>
      <c r="Q92" s="49">
        <f t="shared" si="34"/>
        <v>260563</v>
      </c>
      <c r="R92" s="49">
        <f t="shared" si="34"/>
        <v>260563</v>
      </c>
      <c r="S92" s="49">
        <f t="shared" si="34"/>
        <v>260563</v>
      </c>
      <c r="T92" s="48">
        <f t="shared" si="35"/>
        <v>260563</v>
      </c>
      <c r="U92" s="48">
        <f t="shared" si="52"/>
        <v>260563</v>
      </c>
      <c r="V92" s="48">
        <f t="shared" si="36"/>
        <v>260563</v>
      </c>
      <c r="W92" s="48">
        <f t="shared" si="37"/>
        <v>260563</v>
      </c>
      <c r="X92" s="48">
        <f t="shared" si="38"/>
        <v>260563</v>
      </c>
      <c r="Y92" s="48">
        <f t="shared" si="39"/>
        <v>260563</v>
      </c>
      <c r="Z92" s="48">
        <f t="shared" si="40"/>
        <v>299577.14720654738</v>
      </c>
      <c r="AA92" s="48">
        <f t="shared" si="41"/>
        <v>299577.14720654738</v>
      </c>
      <c r="AB92" s="48">
        <f t="shared" si="42"/>
        <v>299577.14720654738</v>
      </c>
      <c r="AC92" s="48">
        <f t="shared" si="43"/>
        <v>299577.14720654738</v>
      </c>
      <c r="AD92" s="48">
        <f t="shared" si="44"/>
        <v>299577.14720654738</v>
      </c>
      <c r="AE92" s="48">
        <f t="shared" si="45"/>
        <v>299577.14720654738</v>
      </c>
      <c r="AF92" s="48">
        <f t="shared" si="46"/>
        <v>299577.14720654738</v>
      </c>
      <c r="AG92" s="48">
        <f t="shared" si="47"/>
        <v>299577.14720654738</v>
      </c>
      <c r="AH92" s="48">
        <f t="shared" si="48"/>
        <v>299577.14720654738</v>
      </c>
      <c r="AI92" s="48">
        <f t="shared" si="49"/>
        <v>299577.14720654738</v>
      </c>
      <c r="AJ92" s="48">
        <f t="shared" si="50"/>
        <v>299577.14720654738</v>
      </c>
      <c r="AK92" s="48">
        <f t="shared" si="51"/>
        <v>299577.14720654738</v>
      </c>
    </row>
    <row r="93" spans="1:37" x14ac:dyDescent="0.2">
      <c r="A93" s="63">
        <v>1992</v>
      </c>
      <c r="B93" s="63">
        <v>3</v>
      </c>
      <c r="C93" s="49">
        <v>259066</v>
      </c>
      <c r="D93" s="49">
        <v>259351</v>
      </c>
      <c r="E93" s="49">
        <v>259351</v>
      </c>
      <c r="F93" s="49">
        <v>259351</v>
      </c>
      <c r="G93" s="49">
        <v>259351</v>
      </c>
      <c r="H93" s="49">
        <v>259351</v>
      </c>
      <c r="I93" s="49">
        <v>259351</v>
      </c>
      <c r="J93" s="49">
        <v>259351</v>
      </c>
      <c r="K93" s="49">
        <v>259450</v>
      </c>
      <c r="L93" s="49">
        <v>259450</v>
      </c>
      <c r="M93" s="49">
        <v>259450</v>
      </c>
      <c r="N93" s="49">
        <v>259450</v>
      </c>
      <c r="O93" s="49">
        <v>259450</v>
      </c>
      <c r="P93" s="49">
        <v>259450</v>
      </c>
      <c r="Q93" s="49">
        <f t="shared" si="34"/>
        <v>259450</v>
      </c>
      <c r="R93" s="49">
        <f t="shared" si="34"/>
        <v>259450</v>
      </c>
      <c r="S93" s="49">
        <f t="shared" si="34"/>
        <v>259450</v>
      </c>
      <c r="T93" s="48">
        <f t="shared" si="35"/>
        <v>259450</v>
      </c>
      <c r="U93" s="48">
        <f t="shared" si="52"/>
        <v>259450</v>
      </c>
      <c r="V93" s="48">
        <f t="shared" si="36"/>
        <v>259450</v>
      </c>
      <c r="W93" s="48">
        <f t="shared" si="37"/>
        <v>259450</v>
      </c>
      <c r="X93" s="48">
        <f t="shared" si="38"/>
        <v>259450</v>
      </c>
      <c r="Y93" s="48">
        <f t="shared" si="39"/>
        <v>259450</v>
      </c>
      <c r="Z93" s="48">
        <f t="shared" si="40"/>
        <v>298297.49750631797</v>
      </c>
      <c r="AA93" s="48">
        <f t="shared" si="41"/>
        <v>298297.49750631797</v>
      </c>
      <c r="AB93" s="48">
        <f t="shared" si="42"/>
        <v>298297.49750631797</v>
      </c>
      <c r="AC93" s="48">
        <f t="shared" si="43"/>
        <v>298297.49750631797</v>
      </c>
      <c r="AD93" s="48">
        <f t="shared" si="44"/>
        <v>298297.49750631797</v>
      </c>
      <c r="AE93" s="48">
        <f t="shared" si="45"/>
        <v>298297.49750631797</v>
      </c>
      <c r="AF93" s="48">
        <f t="shared" si="46"/>
        <v>298297.49750631797</v>
      </c>
      <c r="AG93" s="48">
        <f t="shared" si="47"/>
        <v>298297.49750631797</v>
      </c>
      <c r="AH93" s="48">
        <f t="shared" si="48"/>
        <v>298297.49750631797</v>
      </c>
      <c r="AI93" s="48">
        <f t="shared" si="49"/>
        <v>298297.49750631797</v>
      </c>
      <c r="AJ93" s="48">
        <f t="shared" si="50"/>
        <v>298297.49750631797</v>
      </c>
      <c r="AK93" s="48">
        <f t="shared" si="51"/>
        <v>298297.49750631797</v>
      </c>
    </row>
    <row r="94" spans="1:37" x14ac:dyDescent="0.2">
      <c r="A94" s="63">
        <v>1992</v>
      </c>
      <c r="B94" s="63">
        <v>4</v>
      </c>
      <c r="C94" s="49">
        <v>258409</v>
      </c>
      <c r="D94" s="49">
        <v>258367</v>
      </c>
      <c r="E94" s="49">
        <v>258367</v>
      </c>
      <c r="F94" s="49">
        <v>258367</v>
      </c>
      <c r="G94" s="49">
        <v>258367</v>
      </c>
      <c r="H94" s="49">
        <v>258367</v>
      </c>
      <c r="I94" s="49">
        <v>258367</v>
      </c>
      <c r="J94" s="49">
        <v>258367</v>
      </c>
      <c r="K94" s="49">
        <v>258413</v>
      </c>
      <c r="L94" s="49">
        <v>258413</v>
      </c>
      <c r="M94" s="49">
        <v>258413</v>
      </c>
      <c r="N94" s="49">
        <v>258413</v>
      </c>
      <c r="O94" s="49">
        <v>258413</v>
      </c>
      <c r="P94" s="49">
        <v>258413</v>
      </c>
      <c r="Q94" s="49">
        <f t="shared" si="34"/>
        <v>258413</v>
      </c>
      <c r="R94" s="49">
        <f t="shared" si="34"/>
        <v>258413</v>
      </c>
      <c r="S94" s="49">
        <f t="shared" si="34"/>
        <v>258413</v>
      </c>
      <c r="T94" s="48">
        <f t="shared" si="35"/>
        <v>258413</v>
      </c>
      <c r="U94" s="48">
        <f t="shared" si="52"/>
        <v>258413</v>
      </c>
      <c r="V94" s="48">
        <f t="shared" si="36"/>
        <v>258413</v>
      </c>
      <c r="W94" s="48">
        <f t="shared" si="37"/>
        <v>258413</v>
      </c>
      <c r="X94" s="48">
        <f t="shared" si="38"/>
        <v>258413</v>
      </c>
      <c r="Y94" s="48">
        <f t="shared" si="39"/>
        <v>258413</v>
      </c>
      <c r="Z94" s="48">
        <f t="shared" si="40"/>
        <v>297105.2273004438</v>
      </c>
      <c r="AA94" s="48">
        <f t="shared" si="41"/>
        <v>297105.2273004438</v>
      </c>
      <c r="AB94" s="48">
        <f t="shared" si="42"/>
        <v>297105.2273004438</v>
      </c>
      <c r="AC94" s="48">
        <f t="shared" si="43"/>
        <v>297105.2273004438</v>
      </c>
      <c r="AD94" s="48">
        <f t="shared" si="44"/>
        <v>297105.2273004438</v>
      </c>
      <c r="AE94" s="48">
        <f t="shared" si="45"/>
        <v>297105.2273004438</v>
      </c>
      <c r="AF94" s="48">
        <f t="shared" si="46"/>
        <v>297105.2273004438</v>
      </c>
      <c r="AG94" s="48">
        <f t="shared" si="47"/>
        <v>297105.2273004438</v>
      </c>
      <c r="AH94" s="48">
        <f t="shared" si="48"/>
        <v>297105.2273004438</v>
      </c>
      <c r="AI94" s="48">
        <f t="shared" si="49"/>
        <v>297105.2273004438</v>
      </c>
      <c r="AJ94" s="48">
        <f t="shared" si="50"/>
        <v>297105.2273004438</v>
      </c>
      <c r="AK94" s="48">
        <f t="shared" si="51"/>
        <v>297105.2273004438</v>
      </c>
    </row>
    <row r="95" spans="1:37" x14ac:dyDescent="0.2">
      <c r="A95" s="63">
        <v>1993</v>
      </c>
      <c r="B95" s="63">
        <v>1</v>
      </c>
      <c r="C95" s="49">
        <v>258114</v>
      </c>
      <c r="D95" s="49">
        <v>257803</v>
      </c>
      <c r="E95" s="49">
        <v>257803</v>
      </c>
      <c r="F95" s="49">
        <v>257803</v>
      </c>
      <c r="G95" s="49">
        <v>257803</v>
      </c>
      <c r="H95" s="49">
        <v>257803</v>
      </c>
      <c r="I95" s="49">
        <v>257803</v>
      </c>
      <c r="J95" s="49">
        <v>257803</v>
      </c>
      <c r="K95" s="49">
        <v>257868</v>
      </c>
      <c r="L95" s="49">
        <v>257868</v>
      </c>
      <c r="M95" s="49">
        <v>257868</v>
      </c>
      <c r="N95" s="49">
        <v>257868</v>
      </c>
      <c r="O95" s="49">
        <v>257868</v>
      </c>
      <c r="P95" s="49">
        <v>257868</v>
      </c>
      <c r="Q95" s="49">
        <f t="shared" si="34"/>
        <v>257868</v>
      </c>
      <c r="R95" s="49">
        <f t="shared" si="34"/>
        <v>257868</v>
      </c>
      <c r="S95" s="49">
        <f t="shared" si="34"/>
        <v>257868</v>
      </c>
      <c r="T95" s="48">
        <f t="shared" si="35"/>
        <v>257868</v>
      </c>
      <c r="U95" s="48">
        <f t="shared" si="52"/>
        <v>257868</v>
      </c>
      <c r="V95" s="48">
        <f t="shared" si="36"/>
        <v>257868</v>
      </c>
      <c r="W95" s="48">
        <f t="shared" si="37"/>
        <v>257868</v>
      </c>
      <c r="X95" s="48">
        <f t="shared" si="38"/>
        <v>257868</v>
      </c>
      <c r="Y95" s="48">
        <f t="shared" si="39"/>
        <v>257868</v>
      </c>
      <c r="Z95" s="48">
        <f t="shared" si="40"/>
        <v>296478.62434750126</v>
      </c>
      <c r="AA95" s="48">
        <f t="shared" si="41"/>
        <v>296478.62434750126</v>
      </c>
      <c r="AB95" s="48">
        <f t="shared" si="42"/>
        <v>296478.62434750126</v>
      </c>
      <c r="AC95" s="48">
        <f t="shared" si="43"/>
        <v>296478.62434750126</v>
      </c>
      <c r="AD95" s="48">
        <f t="shared" si="44"/>
        <v>296478.62434750126</v>
      </c>
      <c r="AE95" s="48">
        <f t="shared" si="45"/>
        <v>296478.62434750126</v>
      </c>
      <c r="AF95" s="48">
        <f t="shared" si="46"/>
        <v>296478.62434750126</v>
      </c>
      <c r="AG95" s="48">
        <f t="shared" si="47"/>
        <v>296478.62434750126</v>
      </c>
      <c r="AH95" s="48">
        <f t="shared" si="48"/>
        <v>296478.62434750126</v>
      </c>
      <c r="AI95" s="48">
        <f t="shared" si="49"/>
        <v>296478.62434750126</v>
      </c>
      <c r="AJ95" s="48">
        <f t="shared" si="50"/>
        <v>296478.62434750126</v>
      </c>
      <c r="AK95" s="48">
        <f t="shared" si="51"/>
        <v>296478.62434750126</v>
      </c>
    </row>
    <row r="96" spans="1:37" x14ac:dyDescent="0.2">
      <c r="A96" s="63">
        <v>1993</v>
      </c>
      <c r="B96" s="63">
        <v>2</v>
      </c>
      <c r="C96" s="49">
        <v>257366</v>
      </c>
      <c r="D96" s="49">
        <v>257407</v>
      </c>
      <c r="E96" s="49">
        <v>257407</v>
      </c>
      <c r="F96" s="49">
        <v>257407</v>
      </c>
      <c r="G96" s="49">
        <v>257407</v>
      </c>
      <c r="H96" s="49">
        <v>257407</v>
      </c>
      <c r="I96" s="49">
        <v>257407</v>
      </c>
      <c r="J96" s="49">
        <v>257407</v>
      </c>
      <c r="K96" s="49">
        <v>257432</v>
      </c>
      <c r="L96" s="49">
        <v>257432</v>
      </c>
      <c r="M96" s="49">
        <v>257432</v>
      </c>
      <c r="N96" s="49">
        <v>257432</v>
      </c>
      <c r="O96" s="49">
        <v>257432</v>
      </c>
      <c r="P96" s="49">
        <v>257432</v>
      </c>
      <c r="Q96" s="49">
        <f t="shared" si="34"/>
        <v>257432</v>
      </c>
      <c r="R96" s="49">
        <f t="shared" si="34"/>
        <v>257432</v>
      </c>
      <c r="S96" s="49">
        <f t="shared" si="34"/>
        <v>257432</v>
      </c>
      <c r="T96" s="48">
        <f t="shared" si="35"/>
        <v>257432</v>
      </c>
      <c r="U96" s="48">
        <f t="shared" si="52"/>
        <v>257432</v>
      </c>
      <c r="V96" s="48">
        <f t="shared" si="36"/>
        <v>257432</v>
      </c>
      <c r="W96" s="48">
        <f t="shared" si="37"/>
        <v>257432</v>
      </c>
      <c r="X96" s="48">
        <f t="shared" si="38"/>
        <v>257432</v>
      </c>
      <c r="Y96" s="48">
        <f t="shared" si="39"/>
        <v>257432</v>
      </c>
      <c r="Z96" s="48">
        <f t="shared" si="40"/>
        <v>295977.34198514721</v>
      </c>
      <c r="AA96" s="48">
        <f t="shared" si="41"/>
        <v>295977.34198514721</v>
      </c>
      <c r="AB96" s="48">
        <f t="shared" si="42"/>
        <v>295977.34198514721</v>
      </c>
      <c r="AC96" s="48">
        <f t="shared" si="43"/>
        <v>295977.34198514721</v>
      </c>
      <c r="AD96" s="48">
        <f t="shared" si="44"/>
        <v>295977.34198514721</v>
      </c>
      <c r="AE96" s="48">
        <f t="shared" si="45"/>
        <v>295977.34198514721</v>
      </c>
      <c r="AF96" s="48">
        <f t="shared" si="46"/>
        <v>295977.34198514721</v>
      </c>
      <c r="AG96" s="48">
        <f t="shared" si="47"/>
        <v>295977.34198514721</v>
      </c>
      <c r="AH96" s="48">
        <f t="shared" si="48"/>
        <v>295977.34198514721</v>
      </c>
      <c r="AI96" s="48">
        <f t="shared" si="49"/>
        <v>295977.34198514721</v>
      </c>
      <c r="AJ96" s="48">
        <f t="shared" si="50"/>
        <v>295977.34198514721</v>
      </c>
      <c r="AK96" s="48">
        <f t="shared" si="51"/>
        <v>295977.34198514721</v>
      </c>
    </row>
    <row r="97" spans="1:37" x14ac:dyDescent="0.2">
      <c r="A97" s="63">
        <v>1993</v>
      </c>
      <c r="B97" s="63">
        <v>3</v>
      </c>
      <c r="C97" s="49">
        <v>256540</v>
      </c>
      <c r="D97" s="49">
        <v>256783</v>
      </c>
      <c r="E97" s="49">
        <v>256783</v>
      </c>
      <c r="F97" s="49">
        <v>256783</v>
      </c>
      <c r="G97" s="49">
        <v>256783</v>
      </c>
      <c r="H97" s="49">
        <v>256783</v>
      </c>
      <c r="I97" s="49">
        <v>256783</v>
      </c>
      <c r="J97" s="49">
        <v>256783</v>
      </c>
      <c r="K97" s="49">
        <v>256818</v>
      </c>
      <c r="L97" s="49">
        <v>256818</v>
      </c>
      <c r="M97" s="49">
        <v>256818</v>
      </c>
      <c r="N97" s="49">
        <v>256818</v>
      </c>
      <c r="O97" s="49">
        <v>256818</v>
      </c>
      <c r="P97" s="49">
        <v>256818</v>
      </c>
      <c r="Q97" s="49">
        <f t="shared" si="34"/>
        <v>256818</v>
      </c>
      <c r="R97" s="49">
        <f t="shared" si="34"/>
        <v>256818</v>
      </c>
      <c r="S97" s="49">
        <f t="shared" si="34"/>
        <v>256818</v>
      </c>
      <c r="T97" s="48">
        <f t="shared" si="35"/>
        <v>256818</v>
      </c>
      <c r="U97" s="48">
        <f t="shared" si="52"/>
        <v>256818</v>
      </c>
      <c r="V97" s="48">
        <f t="shared" si="36"/>
        <v>256818</v>
      </c>
      <c r="W97" s="48">
        <f t="shared" si="37"/>
        <v>256818</v>
      </c>
      <c r="X97" s="48">
        <f t="shared" si="38"/>
        <v>256818</v>
      </c>
      <c r="Y97" s="48">
        <f t="shared" si="39"/>
        <v>256818</v>
      </c>
      <c r="Z97" s="48">
        <f t="shared" si="40"/>
        <v>295271.4076491716</v>
      </c>
      <c r="AA97" s="48">
        <f t="shared" si="41"/>
        <v>295271.4076491716</v>
      </c>
      <c r="AB97" s="48">
        <f t="shared" si="42"/>
        <v>295271.4076491716</v>
      </c>
      <c r="AC97" s="48">
        <f t="shared" si="43"/>
        <v>295271.4076491716</v>
      </c>
      <c r="AD97" s="48">
        <f t="shared" si="44"/>
        <v>295271.4076491716</v>
      </c>
      <c r="AE97" s="48">
        <f t="shared" si="45"/>
        <v>295271.4076491716</v>
      </c>
      <c r="AF97" s="48">
        <f t="shared" si="46"/>
        <v>295271.4076491716</v>
      </c>
      <c r="AG97" s="48">
        <f t="shared" si="47"/>
        <v>295271.4076491716</v>
      </c>
      <c r="AH97" s="48">
        <f t="shared" si="48"/>
        <v>295271.4076491716</v>
      </c>
      <c r="AI97" s="48">
        <f t="shared" si="49"/>
        <v>295271.4076491716</v>
      </c>
      <c r="AJ97" s="48">
        <f t="shared" si="50"/>
        <v>295271.4076491716</v>
      </c>
      <c r="AK97" s="48">
        <f t="shared" si="51"/>
        <v>295271.4076491716</v>
      </c>
    </row>
    <row r="98" spans="1:37" x14ac:dyDescent="0.2">
      <c r="A98" s="63">
        <v>1993</v>
      </c>
      <c r="B98" s="63">
        <v>4</v>
      </c>
      <c r="C98" s="49">
        <v>258595</v>
      </c>
      <c r="D98" s="49">
        <v>258623</v>
      </c>
      <c r="E98" s="49">
        <v>258623</v>
      </c>
      <c r="F98" s="49">
        <v>258623</v>
      </c>
      <c r="G98" s="49">
        <v>258623</v>
      </c>
      <c r="H98" s="49">
        <v>258623</v>
      </c>
      <c r="I98" s="49">
        <v>258623</v>
      </c>
      <c r="J98" s="49">
        <v>258623</v>
      </c>
      <c r="K98" s="49">
        <v>258731</v>
      </c>
      <c r="L98" s="49">
        <v>258731</v>
      </c>
      <c r="M98" s="49">
        <v>258731</v>
      </c>
      <c r="N98" s="49">
        <v>258731</v>
      </c>
      <c r="O98" s="49">
        <v>258731</v>
      </c>
      <c r="P98" s="49">
        <v>258731</v>
      </c>
      <c r="Q98" s="49">
        <f t="shared" si="34"/>
        <v>258731</v>
      </c>
      <c r="R98" s="49">
        <f t="shared" si="34"/>
        <v>258731</v>
      </c>
      <c r="S98" s="49">
        <f t="shared" si="34"/>
        <v>258731</v>
      </c>
      <c r="T98" s="48">
        <f t="shared" si="35"/>
        <v>258731</v>
      </c>
      <c r="U98" s="48">
        <f t="shared" si="52"/>
        <v>258731</v>
      </c>
      <c r="V98" s="48">
        <f t="shared" si="36"/>
        <v>258731</v>
      </c>
      <c r="W98" s="48">
        <f t="shared" si="37"/>
        <v>258731</v>
      </c>
      <c r="X98" s="48">
        <f t="shared" si="38"/>
        <v>258731</v>
      </c>
      <c r="Y98" s="48">
        <f t="shared" si="39"/>
        <v>258731</v>
      </c>
      <c r="Z98" s="48">
        <f t="shared" si="40"/>
        <v>297470.84150050936</v>
      </c>
      <c r="AA98" s="48">
        <f t="shared" si="41"/>
        <v>297470.84150050936</v>
      </c>
      <c r="AB98" s="48">
        <f t="shared" si="42"/>
        <v>297470.84150050936</v>
      </c>
      <c r="AC98" s="48">
        <f t="shared" si="43"/>
        <v>297470.84150050936</v>
      </c>
      <c r="AD98" s="48">
        <f t="shared" si="44"/>
        <v>297470.84150050936</v>
      </c>
      <c r="AE98" s="48">
        <f t="shared" si="45"/>
        <v>297470.84150050936</v>
      </c>
      <c r="AF98" s="48">
        <f t="shared" si="46"/>
        <v>297470.84150050936</v>
      </c>
      <c r="AG98" s="48">
        <f t="shared" si="47"/>
        <v>297470.84150050936</v>
      </c>
      <c r="AH98" s="48">
        <f t="shared" si="48"/>
        <v>297470.84150050936</v>
      </c>
      <c r="AI98" s="48">
        <f t="shared" si="49"/>
        <v>297470.84150050936</v>
      </c>
      <c r="AJ98" s="48">
        <f t="shared" si="50"/>
        <v>297470.84150050936</v>
      </c>
      <c r="AK98" s="48">
        <f t="shared" si="51"/>
        <v>297470.84150050936</v>
      </c>
    </row>
    <row r="99" spans="1:37" x14ac:dyDescent="0.2">
      <c r="A99" s="63">
        <v>1994</v>
      </c>
      <c r="B99" s="63">
        <v>1</v>
      </c>
      <c r="C99" s="49">
        <v>260215</v>
      </c>
      <c r="D99" s="49">
        <v>260043</v>
      </c>
      <c r="E99" s="49">
        <v>260043</v>
      </c>
      <c r="F99" s="49">
        <v>260043</v>
      </c>
      <c r="G99" s="49">
        <v>260043</v>
      </c>
      <c r="H99" s="49">
        <v>260043</v>
      </c>
      <c r="I99" s="49">
        <v>260043</v>
      </c>
      <c r="J99" s="49">
        <v>260043</v>
      </c>
      <c r="K99" s="49">
        <v>260230</v>
      </c>
      <c r="L99" s="49">
        <v>260230</v>
      </c>
      <c r="M99" s="49">
        <v>260230</v>
      </c>
      <c r="N99" s="49">
        <v>260230</v>
      </c>
      <c r="O99" s="49">
        <v>260230</v>
      </c>
      <c r="P99" s="49">
        <v>260230</v>
      </c>
      <c r="Q99" s="49">
        <f t="shared" si="34"/>
        <v>260230</v>
      </c>
      <c r="R99" s="49">
        <f t="shared" si="34"/>
        <v>260230</v>
      </c>
      <c r="S99" s="49">
        <f t="shared" si="34"/>
        <v>260230</v>
      </c>
      <c r="T99" s="48">
        <f t="shared" si="35"/>
        <v>260230</v>
      </c>
      <c r="U99" s="48">
        <f t="shared" si="52"/>
        <v>260230</v>
      </c>
      <c r="V99" s="48">
        <f t="shared" si="36"/>
        <v>260230</v>
      </c>
      <c r="W99" s="48">
        <f t="shared" si="37"/>
        <v>260230</v>
      </c>
      <c r="X99" s="48">
        <f t="shared" si="38"/>
        <v>260230</v>
      </c>
      <c r="Y99" s="48">
        <f t="shared" si="39"/>
        <v>260230</v>
      </c>
      <c r="Z99" s="48">
        <f t="shared" si="40"/>
        <v>299194.28705364856</v>
      </c>
      <c r="AA99" s="48">
        <f t="shared" si="41"/>
        <v>299194.28705364856</v>
      </c>
      <c r="AB99" s="48">
        <f t="shared" si="42"/>
        <v>299194.28705364856</v>
      </c>
      <c r="AC99" s="48">
        <f t="shared" si="43"/>
        <v>299194.28705364856</v>
      </c>
      <c r="AD99" s="48">
        <f t="shared" si="44"/>
        <v>299194.28705364856</v>
      </c>
      <c r="AE99" s="48">
        <f t="shared" si="45"/>
        <v>299194.28705364856</v>
      </c>
      <c r="AF99" s="48">
        <f t="shared" si="46"/>
        <v>299194.28705364856</v>
      </c>
      <c r="AG99" s="48">
        <f t="shared" si="47"/>
        <v>299194.28705364856</v>
      </c>
      <c r="AH99" s="48">
        <f t="shared" si="48"/>
        <v>299194.28705364856</v>
      </c>
      <c r="AI99" s="48">
        <f t="shared" si="49"/>
        <v>299194.28705364856</v>
      </c>
      <c r="AJ99" s="48">
        <f t="shared" si="50"/>
        <v>299194.28705364856</v>
      </c>
      <c r="AK99" s="48">
        <f t="shared" si="51"/>
        <v>299194.28705364856</v>
      </c>
    </row>
    <row r="100" spans="1:37" x14ac:dyDescent="0.2">
      <c r="A100" s="63">
        <v>1994</v>
      </c>
      <c r="B100" s="63">
        <v>2</v>
      </c>
      <c r="C100" s="49">
        <v>262352</v>
      </c>
      <c r="D100" s="49">
        <v>262375</v>
      </c>
      <c r="E100" s="49">
        <v>262375</v>
      </c>
      <c r="F100" s="49">
        <v>262375</v>
      </c>
      <c r="G100" s="49">
        <v>262375</v>
      </c>
      <c r="H100" s="49">
        <v>262375</v>
      </c>
      <c r="I100" s="49">
        <v>262375</v>
      </c>
      <c r="J100" s="49">
        <v>262375</v>
      </c>
      <c r="K100" s="49">
        <v>262396</v>
      </c>
      <c r="L100" s="49">
        <v>262396</v>
      </c>
      <c r="M100" s="49">
        <v>262396</v>
      </c>
      <c r="N100" s="49">
        <v>262396</v>
      </c>
      <c r="O100" s="49">
        <v>262396</v>
      </c>
      <c r="P100" s="49">
        <v>262396</v>
      </c>
      <c r="Q100" s="49">
        <f t="shared" si="34"/>
        <v>262396</v>
      </c>
      <c r="R100" s="49">
        <f t="shared" si="34"/>
        <v>262396</v>
      </c>
      <c r="S100" s="49">
        <f t="shared" si="34"/>
        <v>262396</v>
      </c>
      <c r="T100" s="48">
        <f t="shared" si="35"/>
        <v>262396</v>
      </c>
      <c r="U100" s="48">
        <f t="shared" si="52"/>
        <v>262396</v>
      </c>
      <c r="V100" s="48">
        <f t="shared" si="36"/>
        <v>262396</v>
      </c>
      <c r="W100" s="48">
        <f t="shared" si="37"/>
        <v>262396</v>
      </c>
      <c r="X100" s="48">
        <f t="shared" si="38"/>
        <v>262396</v>
      </c>
      <c r="Y100" s="48">
        <f t="shared" si="39"/>
        <v>262396</v>
      </c>
      <c r="Z100" s="48">
        <f t="shared" si="40"/>
        <v>301684.60264277435</v>
      </c>
      <c r="AA100" s="48">
        <f t="shared" si="41"/>
        <v>301684.60264277435</v>
      </c>
      <c r="AB100" s="48">
        <f t="shared" si="42"/>
        <v>301684.60264277435</v>
      </c>
      <c r="AC100" s="48">
        <f t="shared" si="43"/>
        <v>301684.60264277435</v>
      </c>
      <c r="AD100" s="48">
        <f t="shared" si="44"/>
        <v>301684.60264277435</v>
      </c>
      <c r="AE100" s="48">
        <f t="shared" si="45"/>
        <v>301684.60264277435</v>
      </c>
      <c r="AF100" s="48">
        <f t="shared" si="46"/>
        <v>301684.60264277435</v>
      </c>
      <c r="AG100" s="48">
        <f t="shared" si="47"/>
        <v>301684.60264277435</v>
      </c>
      <c r="AH100" s="48">
        <f t="shared" si="48"/>
        <v>301684.60264277435</v>
      </c>
      <c r="AI100" s="48">
        <f t="shared" si="49"/>
        <v>301684.60264277435</v>
      </c>
      <c r="AJ100" s="48">
        <f t="shared" si="50"/>
        <v>301684.60264277435</v>
      </c>
      <c r="AK100" s="48">
        <f t="shared" si="51"/>
        <v>301684.60264277435</v>
      </c>
    </row>
    <row r="101" spans="1:37" x14ac:dyDescent="0.2">
      <c r="A101" s="63">
        <v>1994</v>
      </c>
      <c r="B101" s="63">
        <v>3</v>
      </c>
      <c r="C101" s="49">
        <v>264625</v>
      </c>
      <c r="D101" s="49">
        <v>264633</v>
      </c>
      <c r="E101" s="49">
        <v>264633</v>
      </c>
      <c r="F101" s="49">
        <v>264633</v>
      </c>
      <c r="G101" s="49">
        <v>264633</v>
      </c>
      <c r="H101" s="49">
        <v>264633</v>
      </c>
      <c r="I101" s="49">
        <v>264633</v>
      </c>
      <c r="J101" s="49">
        <v>264633</v>
      </c>
      <c r="K101" s="49">
        <v>264591</v>
      </c>
      <c r="L101" s="49">
        <v>264591</v>
      </c>
      <c r="M101" s="49">
        <v>264591</v>
      </c>
      <c r="N101" s="49">
        <v>264591</v>
      </c>
      <c r="O101" s="49">
        <v>264591</v>
      </c>
      <c r="P101" s="49">
        <v>264591</v>
      </c>
      <c r="Q101" s="49">
        <f t="shared" si="34"/>
        <v>264591</v>
      </c>
      <c r="R101" s="49">
        <f t="shared" si="34"/>
        <v>264591</v>
      </c>
      <c r="S101" s="49">
        <f t="shared" si="34"/>
        <v>264591</v>
      </c>
      <c r="T101" s="48">
        <f t="shared" si="35"/>
        <v>264591</v>
      </c>
      <c r="U101" s="48">
        <f t="shared" si="52"/>
        <v>264591</v>
      </c>
      <c r="V101" s="48">
        <f t="shared" si="36"/>
        <v>264591</v>
      </c>
      <c r="W101" s="48">
        <f t="shared" si="37"/>
        <v>264591</v>
      </c>
      <c r="X101" s="48">
        <f t="shared" si="38"/>
        <v>264591</v>
      </c>
      <c r="Y101" s="48">
        <f t="shared" si="39"/>
        <v>264591</v>
      </c>
      <c r="Z101" s="48">
        <f t="shared" si="40"/>
        <v>304208.26040737779</v>
      </c>
      <c r="AA101" s="48">
        <f t="shared" si="41"/>
        <v>304208.26040737779</v>
      </c>
      <c r="AB101" s="48">
        <f t="shared" si="42"/>
        <v>304208.26040737779</v>
      </c>
      <c r="AC101" s="48">
        <f t="shared" si="43"/>
        <v>304208.26040737779</v>
      </c>
      <c r="AD101" s="48">
        <f t="shared" si="44"/>
        <v>304208.26040737779</v>
      </c>
      <c r="AE101" s="48">
        <f t="shared" si="45"/>
        <v>304208.26040737779</v>
      </c>
      <c r="AF101" s="48">
        <f t="shared" si="46"/>
        <v>304208.26040737779</v>
      </c>
      <c r="AG101" s="48">
        <f t="shared" si="47"/>
        <v>304208.26040737779</v>
      </c>
      <c r="AH101" s="48">
        <f t="shared" si="48"/>
        <v>304208.26040737779</v>
      </c>
      <c r="AI101" s="48">
        <f t="shared" si="49"/>
        <v>304208.26040737779</v>
      </c>
      <c r="AJ101" s="48">
        <f t="shared" si="50"/>
        <v>304208.26040737779</v>
      </c>
      <c r="AK101" s="48">
        <f t="shared" si="51"/>
        <v>304208.26040737779</v>
      </c>
    </row>
    <row r="102" spans="1:37" x14ac:dyDescent="0.2">
      <c r="A102" s="63">
        <v>1994</v>
      </c>
      <c r="B102" s="63">
        <v>4</v>
      </c>
      <c r="C102" s="49">
        <v>266944</v>
      </c>
      <c r="D102" s="49">
        <v>267085</v>
      </c>
      <c r="E102" s="49">
        <v>267085</v>
      </c>
      <c r="F102" s="49">
        <v>267085</v>
      </c>
      <c r="G102" s="49">
        <v>267085</v>
      </c>
      <c r="H102" s="49">
        <v>267085</v>
      </c>
      <c r="I102" s="49">
        <v>267085</v>
      </c>
      <c r="J102" s="49">
        <v>267085</v>
      </c>
      <c r="K102" s="49">
        <v>267115</v>
      </c>
      <c r="L102" s="49">
        <v>267115</v>
      </c>
      <c r="M102" s="49">
        <v>267115</v>
      </c>
      <c r="N102" s="49">
        <v>267115</v>
      </c>
      <c r="O102" s="49">
        <v>267115</v>
      </c>
      <c r="P102" s="49">
        <v>267115</v>
      </c>
      <c r="Q102" s="49">
        <f t="shared" si="34"/>
        <v>267115</v>
      </c>
      <c r="R102" s="49">
        <f t="shared" si="34"/>
        <v>267115</v>
      </c>
      <c r="S102" s="49">
        <f t="shared" si="34"/>
        <v>267115</v>
      </c>
      <c r="T102" s="48">
        <f t="shared" si="35"/>
        <v>267115</v>
      </c>
      <c r="U102" s="48">
        <f t="shared" si="52"/>
        <v>267115</v>
      </c>
      <c r="V102" s="48">
        <f t="shared" si="36"/>
        <v>267115</v>
      </c>
      <c r="W102" s="48">
        <f t="shared" si="37"/>
        <v>267115</v>
      </c>
      <c r="X102" s="48">
        <f t="shared" si="38"/>
        <v>267115</v>
      </c>
      <c r="Y102" s="48">
        <f t="shared" si="39"/>
        <v>267115</v>
      </c>
      <c r="Z102" s="48">
        <f t="shared" si="40"/>
        <v>307110.17940412456</v>
      </c>
      <c r="AA102" s="48">
        <f t="shared" si="41"/>
        <v>307110.17940412456</v>
      </c>
      <c r="AB102" s="48">
        <f t="shared" si="42"/>
        <v>307110.17940412456</v>
      </c>
      <c r="AC102" s="48">
        <f t="shared" si="43"/>
        <v>307110.17940412456</v>
      </c>
      <c r="AD102" s="48">
        <f t="shared" si="44"/>
        <v>307110.17940412456</v>
      </c>
      <c r="AE102" s="48">
        <f t="shared" si="45"/>
        <v>307110.17940412456</v>
      </c>
      <c r="AF102" s="48">
        <f t="shared" si="46"/>
        <v>307110.17940412456</v>
      </c>
      <c r="AG102" s="48">
        <f t="shared" si="47"/>
        <v>307110.17940412456</v>
      </c>
      <c r="AH102" s="48">
        <f t="shared" si="48"/>
        <v>307110.17940412456</v>
      </c>
      <c r="AI102" s="48">
        <f t="shared" si="49"/>
        <v>307110.17940412456</v>
      </c>
      <c r="AJ102" s="48">
        <f t="shared" si="50"/>
        <v>307110.17940412456</v>
      </c>
      <c r="AK102" s="48">
        <f t="shared" si="51"/>
        <v>307110.17940412456</v>
      </c>
    </row>
    <row r="103" spans="1:37" x14ac:dyDescent="0.2">
      <c r="A103" s="63">
        <v>1995</v>
      </c>
      <c r="B103" s="63">
        <v>1</v>
      </c>
      <c r="C103" s="49">
        <v>269560</v>
      </c>
      <c r="D103" s="49">
        <v>269733</v>
      </c>
      <c r="E103" s="49">
        <v>269733</v>
      </c>
      <c r="F103" s="49">
        <v>269733</v>
      </c>
      <c r="G103" s="49">
        <v>269733</v>
      </c>
      <c r="H103" s="49">
        <v>269733</v>
      </c>
      <c r="I103" s="49">
        <v>269733</v>
      </c>
      <c r="J103" s="49">
        <v>269733</v>
      </c>
      <c r="K103" s="49">
        <v>269861</v>
      </c>
      <c r="L103" s="49">
        <v>269861</v>
      </c>
      <c r="M103" s="49">
        <v>269861</v>
      </c>
      <c r="N103" s="49">
        <v>269861</v>
      </c>
      <c r="O103" s="49">
        <v>269861</v>
      </c>
      <c r="P103" s="49">
        <v>269861</v>
      </c>
      <c r="Q103" s="49">
        <f t="shared" si="34"/>
        <v>269861</v>
      </c>
      <c r="R103" s="49">
        <f t="shared" si="34"/>
        <v>269861</v>
      </c>
      <c r="S103" s="49">
        <f t="shared" si="34"/>
        <v>269861</v>
      </c>
      <c r="T103" s="48">
        <f t="shared" si="35"/>
        <v>269861</v>
      </c>
      <c r="U103" s="48">
        <f t="shared" si="52"/>
        <v>269861</v>
      </c>
      <c r="V103" s="48">
        <f t="shared" si="36"/>
        <v>269861</v>
      </c>
      <c r="W103" s="48">
        <f t="shared" si="37"/>
        <v>269861</v>
      </c>
      <c r="X103" s="48">
        <f t="shared" si="38"/>
        <v>269861</v>
      </c>
      <c r="Y103" s="48">
        <f t="shared" si="39"/>
        <v>269861</v>
      </c>
      <c r="Z103" s="48">
        <f t="shared" si="40"/>
        <v>310267.33850280388</v>
      </c>
      <c r="AA103" s="48">
        <f t="shared" si="41"/>
        <v>310267.33850280388</v>
      </c>
      <c r="AB103" s="48">
        <f t="shared" si="42"/>
        <v>310267.33850280388</v>
      </c>
      <c r="AC103" s="48">
        <f t="shared" si="43"/>
        <v>310267.33850280388</v>
      </c>
      <c r="AD103" s="48">
        <f t="shared" si="44"/>
        <v>310267.33850280388</v>
      </c>
      <c r="AE103" s="48">
        <f t="shared" si="45"/>
        <v>310267.33850280388</v>
      </c>
      <c r="AF103" s="48">
        <f t="shared" si="46"/>
        <v>310267.33850280388</v>
      </c>
      <c r="AG103" s="48">
        <f t="shared" si="47"/>
        <v>310267.33850280388</v>
      </c>
      <c r="AH103" s="48">
        <f t="shared" si="48"/>
        <v>310267.33850280388</v>
      </c>
      <c r="AI103" s="48">
        <f t="shared" si="49"/>
        <v>310267.33850280388</v>
      </c>
      <c r="AJ103" s="48">
        <f t="shared" si="50"/>
        <v>310267.33850280388</v>
      </c>
      <c r="AK103" s="48">
        <f t="shared" si="51"/>
        <v>310267.33850280388</v>
      </c>
    </row>
    <row r="104" spans="1:37" x14ac:dyDescent="0.2">
      <c r="A104" s="63">
        <v>1995</v>
      </c>
      <c r="B104" s="63">
        <v>2</v>
      </c>
      <c r="C104" s="49">
        <v>270147</v>
      </c>
      <c r="D104" s="49">
        <v>270054</v>
      </c>
      <c r="E104" s="49">
        <v>270054</v>
      </c>
      <c r="F104" s="49">
        <v>270054</v>
      </c>
      <c r="G104" s="49">
        <v>270054</v>
      </c>
      <c r="H104" s="49">
        <v>270054</v>
      </c>
      <c r="I104" s="49">
        <v>270054</v>
      </c>
      <c r="J104" s="49">
        <v>270054</v>
      </c>
      <c r="K104" s="49">
        <v>269844</v>
      </c>
      <c r="L104" s="49">
        <v>269844</v>
      </c>
      <c r="M104" s="49">
        <v>269844</v>
      </c>
      <c r="N104" s="49">
        <v>269844</v>
      </c>
      <c r="O104" s="49">
        <v>269844</v>
      </c>
      <c r="P104" s="49">
        <v>269844</v>
      </c>
      <c r="Q104" s="49">
        <f t="shared" si="34"/>
        <v>269844</v>
      </c>
      <c r="R104" s="49">
        <f t="shared" si="34"/>
        <v>269844</v>
      </c>
      <c r="S104" s="49">
        <f t="shared" si="34"/>
        <v>269844</v>
      </c>
      <c r="T104" s="48">
        <f t="shared" si="35"/>
        <v>269844</v>
      </c>
      <c r="U104" s="48">
        <f t="shared" si="52"/>
        <v>269844</v>
      </c>
      <c r="V104" s="48">
        <f t="shared" si="36"/>
        <v>269844</v>
      </c>
      <c r="W104" s="48">
        <f t="shared" si="37"/>
        <v>269844</v>
      </c>
      <c r="X104" s="48">
        <f t="shared" si="38"/>
        <v>269844</v>
      </c>
      <c r="Y104" s="48">
        <f t="shared" si="39"/>
        <v>269844</v>
      </c>
      <c r="Z104" s="48">
        <f t="shared" si="40"/>
        <v>310247.79308959283</v>
      </c>
      <c r="AA104" s="48">
        <f t="shared" si="41"/>
        <v>310247.79308959283</v>
      </c>
      <c r="AB104" s="48">
        <f t="shared" si="42"/>
        <v>310247.79308959283</v>
      </c>
      <c r="AC104" s="48">
        <f t="shared" si="43"/>
        <v>310247.79308959283</v>
      </c>
      <c r="AD104" s="48">
        <f t="shared" si="44"/>
        <v>310247.79308959283</v>
      </c>
      <c r="AE104" s="48">
        <f t="shared" si="45"/>
        <v>310247.79308959283</v>
      </c>
      <c r="AF104" s="48">
        <f t="shared" si="46"/>
        <v>310247.79308959283</v>
      </c>
      <c r="AG104" s="48">
        <f t="shared" si="47"/>
        <v>310247.79308959283</v>
      </c>
      <c r="AH104" s="48">
        <f t="shared" si="48"/>
        <v>310247.79308959283</v>
      </c>
      <c r="AI104" s="48">
        <f t="shared" si="49"/>
        <v>310247.79308959283</v>
      </c>
      <c r="AJ104" s="48">
        <f t="shared" si="50"/>
        <v>310247.79308959283</v>
      </c>
      <c r="AK104" s="48">
        <f t="shared" si="51"/>
        <v>310247.79308959283</v>
      </c>
    </row>
    <row r="105" spans="1:37" x14ac:dyDescent="0.2">
      <c r="A105" s="63">
        <v>1995</v>
      </c>
      <c r="B105" s="63">
        <v>3</v>
      </c>
      <c r="C105" s="49">
        <v>271678</v>
      </c>
      <c r="D105" s="49">
        <v>271739</v>
      </c>
      <c r="E105" s="49">
        <v>271739</v>
      </c>
      <c r="F105" s="49">
        <v>271739</v>
      </c>
      <c r="G105" s="49">
        <v>271739</v>
      </c>
      <c r="H105" s="49">
        <v>271739</v>
      </c>
      <c r="I105" s="49">
        <v>271739</v>
      </c>
      <c r="J105" s="49">
        <v>271739</v>
      </c>
      <c r="K105" s="49">
        <v>271663</v>
      </c>
      <c r="L105" s="49">
        <v>271663</v>
      </c>
      <c r="M105" s="49">
        <v>271663</v>
      </c>
      <c r="N105" s="49">
        <v>271663</v>
      </c>
      <c r="O105" s="49">
        <v>271663</v>
      </c>
      <c r="P105" s="49">
        <v>271663</v>
      </c>
      <c r="Q105" s="49">
        <f t="shared" si="34"/>
        <v>271663</v>
      </c>
      <c r="R105" s="49">
        <f t="shared" si="34"/>
        <v>271663</v>
      </c>
      <c r="S105" s="49">
        <f t="shared" si="34"/>
        <v>271663</v>
      </c>
      <c r="T105" s="48">
        <f t="shared" si="35"/>
        <v>271663</v>
      </c>
      <c r="U105" s="48">
        <f t="shared" si="52"/>
        <v>271663</v>
      </c>
      <c r="V105" s="48">
        <f t="shared" si="36"/>
        <v>271663</v>
      </c>
      <c r="W105" s="48">
        <f t="shared" si="37"/>
        <v>271663</v>
      </c>
      <c r="X105" s="48">
        <f t="shared" si="38"/>
        <v>271663</v>
      </c>
      <c r="Y105" s="48">
        <f t="shared" si="39"/>
        <v>271663</v>
      </c>
      <c r="Z105" s="48">
        <f t="shared" si="40"/>
        <v>312339.15230317536</v>
      </c>
      <c r="AA105" s="48">
        <f t="shared" si="41"/>
        <v>312339.15230317536</v>
      </c>
      <c r="AB105" s="48">
        <f t="shared" si="42"/>
        <v>312339.15230317536</v>
      </c>
      <c r="AC105" s="48">
        <f t="shared" si="43"/>
        <v>312339.15230317536</v>
      </c>
      <c r="AD105" s="48">
        <f t="shared" si="44"/>
        <v>312339.15230317536</v>
      </c>
      <c r="AE105" s="48">
        <f t="shared" si="45"/>
        <v>312339.15230317536</v>
      </c>
      <c r="AF105" s="48">
        <f t="shared" si="46"/>
        <v>312339.15230317536</v>
      </c>
      <c r="AG105" s="48">
        <f t="shared" si="47"/>
        <v>312339.15230317536</v>
      </c>
      <c r="AH105" s="48">
        <f t="shared" si="48"/>
        <v>312339.15230317536</v>
      </c>
      <c r="AI105" s="48">
        <f t="shared" si="49"/>
        <v>312339.15230317536</v>
      </c>
      <c r="AJ105" s="48">
        <f t="shared" si="50"/>
        <v>312339.15230317536</v>
      </c>
      <c r="AK105" s="48">
        <f t="shared" si="51"/>
        <v>312339.15230317536</v>
      </c>
    </row>
    <row r="106" spans="1:37" x14ac:dyDescent="0.2">
      <c r="A106" s="63">
        <v>1995</v>
      </c>
      <c r="B106" s="63">
        <v>4</v>
      </c>
      <c r="C106" s="49">
        <v>273376</v>
      </c>
      <c r="D106" s="49">
        <v>273235</v>
      </c>
      <c r="E106" s="49">
        <v>273235</v>
      </c>
      <c r="F106" s="49">
        <v>273235</v>
      </c>
      <c r="G106" s="49">
        <v>273235</v>
      </c>
      <c r="H106" s="49">
        <v>273235</v>
      </c>
      <c r="I106" s="49">
        <v>273235</v>
      </c>
      <c r="J106" s="49">
        <v>273235</v>
      </c>
      <c r="K106" s="49">
        <v>273561</v>
      </c>
      <c r="L106" s="49">
        <v>273561</v>
      </c>
      <c r="M106" s="49">
        <v>273561</v>
      </c>
      <c r="N106" s="49">
        <v>273561</v>
      </c>
      <c r="O106" s="49">
        <v>273561</v>
      </c>
      <c r="P106" s="49">
        <v>273561</v>
      </c>
      <c r="Q106" s="49">
        <f t="shared" si="34"/>
        <v>273561</v>
      </c>
      <c r="R106" s="49">
        <f t="shared" si="34"/>
        <v>273561</v>
      </c>
      <c r="S106" s="49">
        <f t="shared" si="34"/>
        <v>273561</v>
      </c>
      <c r="T106" s="48">
        <f t="shared" si="35"/>
        <v>273561</v>
      </c>
      <c r="U106" s="48">
        <f t="shared" si="52"/>
        <v>273561</v>
      </c>
      <c r="V106" s="48">
        <f t="shared" si="36"/>
        <v>273561</v>
      </c>
      <c r="W106" s="48">
        <f t="shared" si="37"/>
        <v>273561</v>
      </c>
      <c r="X106" s="48">
        <f t="shared" si="38"/>
        <v>273561</v>
      </c>
      <c r="Y106" s="48">
        <f t="shared" si="39"/>
        <v>273561</v>
      </c>
      <c r="Z106" s="48">
        <f t="shared" si="40"/>
        <v>314521.34020167985</v>
      </c>
      <c r="AA106" s="48">
        <f t="shared" si="41"/>
        <v>314521.34020167985</v>
      </c>
      <c r="AB106" s="48">
        <f t="shared" si="42"/>
        <v>314521.34020167985</v>
      </c>
      <c r="AC106" s="48">
        <f t="shared" si="43"/>
        <v>314521.34020167985</v>
      </c>
      <c r="AD106" s="48">
        <f t="shared" si="44"/>
        <v>314521.34020167985</v>
      </c>
      <c r="AE106" s="48">
        <f t="shared" si="45"/>
        <v>314521.34020167985</v>
      </c>
      <c r="AF106" s="48">
        <f t="shared" si="46"/>
        <v>314521.34020167985</v>
      </c>
      <c r="AG106" s="48">
        <f t="shared" si="47"/>
        <v>314521.34020167985</v>
      </c>
      <c r="AH106" s="48">
        <f t="shared" si="48"/>
        <v>314521.34020167985</v>
      </c>
      <c r="AI106" s="48">
        <f t="shared" si="49"/>
        <v>314521.34020167985</v>
      </c>
      <c r="AJ106" s="48">
        <f t="shared" si="50"/>
        <v>314521.34020167985</v>
      </c>
      <c r="AK106" s="48">
        <f t="shared" si="51"/>
        <v>314521.34020167985</v>
      </c>
    </row>
    <row r="107" spans="1:37" x14ac:dyDescent="0.2">
      <c r="A107" s="63">
        <v>1996</v>
      </c>
      <c r="B107" s="63">
        <v>1</v>
      </c>
      <c r="C107" s="49">
        <v>274499</v>
      </c>
      <c r="D107" s="49">
        <v>274327</v>
      </c>
      <c r="E107" s="49">
        <v>274327</v>
      </c>
      <c r="F107" s="49">
        <v>274327</v>
      </c>
      <c r="G107" s="49">
        <v>274327</v>
      </c>
      <c r="H107" s="49">
        <v>274327</v>
      </c>
      <c r="I107" s="49">
        <v>274327</v>
      </c>
      <c r="J107" s="49">
        <v>274327</v>
      </c>
      <c r="K107" s="49">
        <v>275010</v>
      </c>
      <c r="L107" s="49">
        <v>275010</v>
      </c>
      <c r="M107" s="49">
        <v>275010</v>
      </c>
      <c r="N107" s="49">
        <v>275010</v>
      </c>
      <c r="O107" s="49">
        <v>275010</v>
      </c>
      <c r="P107" s="49">
        <v>275010</v>
      </c>
      <c r="Q107" s="49">
        <f t="shared" si="34"/>
        <v>275010</v>
      </c>
      <c r="R107" s="49">
        <f t="shared" si="34"/>
        <v>275010</v>
      </c>
      <c r="S107" s="49">
        <f t="shared" si="34"/>
        <v>275010</v>
      </c>
      <c r="T107" s="48">
        <f t="shared" si="35"/>
        <v>275010</v>
      </c>
      <c r="U107" s="48">
        <f t="shared" si="52"/>
        <v>275010</v>
      </c>
      <c r="V107" s="48">
        <f t="shared" si="36"/>
        <v>275010</v>
      </c>
      <c r="W107" s="48">
        <f t="shared" si="37"/>
        <v>275010</v>
      </c>
      <c r="X107" s="48">
        <f t="shared" si="38"/>
        <v>275010</v>
      </c>
      <c r="Y107" s="48">
        <f t="shared" si="39"/>
        <v>275010</v>
      </c>
      <c r="Z107" s="48">
        <f t="shared" si="40"/>
        <v>316187.2992453748</v>
      </c>
      <c r="AA107" s="48">
        <f t="shared" si="41"/>
        <v>316187.2992453748</v>
      </c>
      <c r="AB107" s="48">
        <f t="shared" si="42"/>
        <v>316187.2992453748</v>
      </c>
      <c r="AC107" s="48">
        <f t="shared" si="43"/>
        <v>316187.2992453748</v>
      </c>
      <c r="AD107" s="48">
        <f t="shared" si="44"/>
        <v>316187.2992453748</v>
      </c>
      <c r="AE107" s="48">
        <f t="shared" si="45"/>
        <v>316187.2992453748</v>
      </c>
      <c r="AF107" s="48">
        <f t="shared" si="46"/>
        <v>316187.2992453748</v>
      </c>
      <c r="AG107" s="48">
        <f t="shared" si="47"/>
        <v>316187.2992453748</v>
      </c>
      <c r="AH107" s="48">
        <f t="shared" si="48"/>
        <v>316187.2992453748</v>
      </c>
      <c r="AI107" s="48">
        <f t="shared" si="49"/>
        <v>316187.2992453748</v>
      </c>
      <c r="AJ107" s="48">
        <f t="shared" si="50"/>
        <v>316187.2992453748</v>
      </c>
      <c r="AK107" s="48">
        <f t="shared" si="51"/>
        <v>316187.2992453748</v>
      </c>
    </row>
    <row r="108" spans="1:37" x14ac:dyDescent="0.2">
      <c r="A108" s="63">
        <v>1996</v>
      </c>
      <c r="B108" s="63">
        <v>2</v>
      </c>
      <c r="C108" s="49">
        <v>272337</v>
      </c>
      <c r="D108" s="49">
        <v>272108</v>
      </c>
      <c r="E108" s="49">
        <v>272108</v>
      </c>
      <c r="F108" s="49">
        <v>272108</v>
      </c>
      <c r="G108" s="49">
        <v>272108</v>
      </c>
      <c r="H108" s="49">
        <v>272108</v>
      </c>
      <c r="I108" s="49">
        <v>272108</v>
      </c>
      <c r="J108" s="49">
        <v>272108</v>
      </c>
      <c r="K108" s="49">
        <v>273307</v>
      </c>
      <c r="L108" s="49">
        <v>273307</v>
      </c>
      <c r="M108" s="49">
        <v>273307</v>
      </c>
      <c r="N108" s="49">
        <v>273307</v>
      </c>
      <c r="O108" s="49">
        <v>273307</v>
      </c>
      <c r="P108" s="49">
        <v>273307</v>
      </c>
      <c r="Q108" s="49">
        <f t="shared" si="34"/>
        <v>273307</v>
      </c>
      <c r="R108" s="49">
        <f t="shared" si="34"/>
        <v>273307</v>
      </c>
      <c r="S108" s="49">
        <f t="shared" si="34"/>
        <v>273307</v>
      </c>
      <c r="T108" s="48">
        <f t="shared" si="35"/>
        <v>273307</v>
      </c>
      <c r="U108" s="48">
        <f t="shared" si="52"/>
        <v>273307</v>
      </c>
      <c r="V108" s="48">
        <f t="shared" si="36"/>
        <v>273307</v>
      </c>
      <c r="W108" s="48">
        <f t="shared" si="37"/>
        <v>273307</v>
      </c>
      <c r="X108" s="48">
        <f t="shared" si="38"/>
        <v>273307</v>
      </c>
      <c r="Y108" s="48">
        <f t="shared" si="39"/>
        <v>273307</v>
      </c>
      <c r="Z108" s="48">
        <f t="shared" si="40"/>
        <v>314229.30873370299</v>
      </c>
      <c r="AA108" s="48">
        <f t="shared" si="41"/>
        <v>314229.30873370299</v>
      </c>
      <c r="AB108" s="48">
        <f t="shared" si="42"/>
        <v>314229.30873370299</v>
      </c>
      <c r="AC108" s="48">
        <f t="shared" si="43"/>
        <v>314229.30873370299</v>
      </c>
      <c r="AD108" s="48">
        <f t="shared" si="44"/>
        <v>314229.30873370299</v>
      </c>
      <c r="AE108" s="48">
        <f t="shared" si="45"/>
        <v>314229.30873370299</v>
      </c>
      <c r="AF108" s="48">
        <f t="shared" si="46"/>
        <v>314229.30873370299</v>
      </c>
      <c r="AG108" s="48">
        <f t="shared" si="47"/>
        <v>314229.30873370299</v>
      </c>
      <c r="AH108" s="48">
        <f t="shared" si="48"/>
        <v>314229.30873370299</v>
      </c>
      <c r="AI108" s="48">
        <f t="shared" si="49"/>
        <v>314229.30873370299</v>
      </c>
      <c r="AJ108" s="48">
        <f t="shared" si="50"/>
        <v>314229.30873370299</v>
      </c>
      <c r="AK108" s="48">
        <f t="shared" si="51"/>
        <v>314229.30873370299</v>
      </c>
    </row>
    <row r="109" spans="1:37" x14ac:dyDescent="0.2">
      <c r="A109" s="63">
        <v>1996</v>
      </c>
      <c r="B109" s="63">
        <v>3</v>
      </c>
      <c r="C109" s="49">
        <v>272808</v>
      </c>
      <c r="D109" s="49">
        <v>272805</v>
      </c>
      <c r="E109" s="49">
        <v>272805</v>
      </c>
      <c r="F109" s="49">
        <v>272805</v>
      </c>
      <c r="G109" s="49">
        <v>272805</v>
      </c>
      <c r="H109" s="49">
        <v>272805</v>
      </c>
      <c r="I109" s="49">
        <v>272805</v>
      </c>
      <c r="J109" s="49">
        <v>272805</v>
      </c>
      <c r="K109" s="49">
        <v>274032</v>
      </c>
      <c r="L109" s="49">
        <v>274032</v>
      </c>
      <c r="M109" s="49">
        <v>274032</v>
      </c>
      <c r="N109" s="49">
        <v>274032</v>
      </c>
      <c r="O109" s="49">
        <v>274032</v>
      </c>
      <c r="P109" s="49">
        <v>274032</v>
      </c>
      <c r="Q109" s="49">
        <f t="shared" si="34"/>
        <v>274032</v>
      </c>
      <c r="R109" s="49">
        <f t="shared" si="34"/>
        <v>274032</v>
      </c>
      <c r="S109" s="49">
        <f t="shared" si="34"/>
        <v>274032</v>
      </c>
      <c r="T109" s="48">
        <f t="shared" si="35"/>
        <v>274032</v>
      </c>
      <c r="U109" s="48">
        <f t="shared" si="52"/>
        <v>274032</v>
      </c>
      <c r="V109" s="48">
        <f t="shared" si="36"/>
        <v>274032</v>
      </c>
      <c r="W109" s="48">
        <f t="shared" si="37"/>
        <v>274032</v>
      </c>
      <c r="X109" s="48">
        <f t="shared" si="38"/>
        <v>274032</v>
      </c>
      <c r="Y109" s="48">
        <f t="shared" si="39"/>
        <v>274032</v>
      </c>
      <c r="Z109" s="48">
        <f t="shared" si="40"/>
        <v>315062.86312064488</v>
      </c>
      <c r="AA109" s="48">
        <f t="shared" si="41"/>
        <v>315062.86312064488</v>
      </c>
      <c r="AB109" s="48">
        <f t="shared" si="42"/>
        <v>315062.86312064488</v>
      </c>
      <c r="AC109" s="48">
        <f t="shared" si="43"/>
        <v>315062.86312064488</v>
      </c>
      <c r="AD109" s="48">
        <f t="shared" si="44"/>
        <v>315062.86312064488</v>
      </c>
      <c r="AE109" s="48">
        <f t="shared" si="45"/>
        <v>315062.86312064488</v>
      </c>
      <c r="AF109" s="48">
        <f t="shared" si="46"/>
        <v>315062.86312064488</v>
      </c>
      <c r="AG109" s="48">
        <f t="shared" si="47"/>
        <v>315062.86312064488</v>
      </c>
      <c r="AH109" s="48">
        <f t="shared" si="48"/>
        <v>315062.86312064488</v>
      </c>
      <c r="AI109" s="48">
        <f t="shared" si="49"/>
        <v>315062.86312064488</v>
      </c>
      <c r="AJ109" s="48">
        <f t="shared" si="50"/>
        <v>315062.86312064488</v>
      </c>
      <c r="AK109" s="48">
        <f t="shared" si="51"/>
        <v>315062.86312064488</v>
      </c>
    </row>
    <row r="110" spans="1:37" x14ac:dyDescent="0.2">
      <c r="A110" s="63">
        <v>1996</v>
      </c>
      <c r="B110" s="63">
        <v>4</v>
      </c>
      <c r="C110" s="49">
        <v>271532</v>
      </c>
      <c r="D110" s="49">
        <v>271936</v>
      </c>
      <c r="E110" s="49">
        <v>271936</v>
      </c>
      <c r="F110" s="49">
        <v>271936</v>
      </c>
      <c r="G110" s="49">
        <v>271936</v>
      </c>
      <c r="H110" s="49">
        <v>271936</v>
      </c>
      <c r="I110" s="49">
        <v>271936</v>
      </c>
      <c r="J110" s="49">
        <v>271936</v>
      </c>
      <c r="K110" s="49">
        <v>273166</v>
      </c>
      <c r="L110" s="49">
        <v>273166</v>
      </c>
      <c r="M110" s="49">
        <v>273166</v>
      </c>
      <c r="N110" s="49">
        <v>273166</v>
      </c>
      <c r="O110" s="49">
        <v>273166</v>
      </c>
      <c r="P110" s="49">
        <v>273166</v>
      </c>
      <c r="Q110" s="49">
        <f t="shared" si="34"/>
        <v>273166</v>
      </c>
      <c r="R110" s="49">
        <f t="shared" si="34"/>
        <v>273166</v>
      </c>
      <c r="S110" s="49">
        <f t="shared" si="34"/>
        <v>273166</v>
      </c>
      <c r="T110" s="48">
        <f t="shared" si="35"/>
        <v>273166</v>
      </c>
      <c r="U110" s="48">
        <f t="shared" si="52"/>
        <v>273166</v>
      </c>
      <c r="V110" s="48">
        <f t="shared" si="36"/>
        <v>273166</v>
      </c>
      <c r="W110" s="48">
        <f t="shared" si="37"/>
        <v>273166</v>
      </c>
      <c r="X110" s="48">
        <f t="shared" si="38"/>
        <v>273166</v>
      </c>
      <c r="Y110" s="48">
        <f t="shared" si="39"/>
        <v>273166</v>
      </c>
      <c r="Z110" s="48">
        <f t="shared" si="40"/>
        <v>314067.19677707012</v>
      </c>
      <c r="AA110" s="48">
        <f t="shared" si="41"/>
        <v>314067.19677707012</v>
      </c>
      <c r="AB110" s="48">
        <f t="shared" si="42"/>
        <v>314067.19677707012</v>
      </c>
      <c r="AC110" s="48">
        <f t="shared" si="43"/>
        <v>314067.19677707012</v>
      </c>
      <c r="AD110" s="48">
        <f t="shared" si="44"/>
        <v>314067.19677707012</v>
      </c>
      <c r="AE110" s="48">
        <f t="shared" si="45"/>
        <v>314067.19677707012</v>
      </c>
      <c r="AF110" s="48">
        <f t="shared" si="46"/>
        <v>314067.19677707012</v>
      </c>
      <c r="AG110" s="48">
        <f t="shared" si="47"/>
        <v>314067.19677707012</v>
      </c>
      <c r="AH110" s="48">
        <f t="shared" si="48"/>
        <v>314067.19677707012</v>
      </c>
      <c r="AI110" s="48">
        <f t="shared" si="49"/>
        <v>314067.19677707012</v>
      </c>
      <c r="AJ110" s="48">
        <f t="shared" si="50"/>
        <v>314067.19677707012</v>
      </c>
      <c r="AK110" s="48">
        <f t="shared" si="51"/>
        <v>314067.19677707012</v>
      </c>
    </row>
    <row r="111" spans="1:37" x14ac:dyDescent="0.2">
      <c r="A111" s="63">
        <v>1997</v>
      </c>
      <c r="B111" s="63">
        <v>1</v>
      </c>
      <c r="C111" s="49">
        <v>274190</v>
      </c>
      <c r="D111" s="49">
        <v>274193</v>
      </c>
      <c r="E111" s="49">
        <v>274193</v>
      </c>
      <c r="F111" s="49">
        <v>274193</v>
      </c>
      <c r="G111" s="49">
        <v>274193</v>
      </c>
      <c r="H111" s="49">
        <v>274193</v>
      </c>
      <c r="I111" s="49">
        <v>274193</v>
      </c>
      <c r="J111" s="49">
        <v>274193</v>
      </c>
      <c r="K111" s="49">
        <v>275277</v>
      </c>
      <c r="L111" s="49">
        <v>275277</v>
      </c>
      <c r="M111" s="49">
        <v>275277</v>
      </c>
      <c r="N111" s="49">
        <v>275277</v>
      </c>
      <c r="O111" s="49">
        <v>275277</v>
      </c>
      <c r="P111" s="49">
        <v>275277</v>
      </c>
      <c r="Q111" s="49">
        <f t="shared" ref="Q111:S137" si="53">P111</f>
        <v>275277</v>
      </c>
      <c r="R111" s="49">
        <f t="shared" si="53"/>
        <v>275277</v>
      </c>
      <c r="S111" s="49">
        <f t="shared" si="53"/>
        <v>275277</v>
      </c>
      <c r="T111" s="48">
        <f t="shared" si="35"/>
        <v>275277</v>
      </c>
      <c r="U111" s="48">
        <f t="shared" si="52"/>
        <v>275277</v>
      </c>
      <c r="V111" s="48">
        <f t="shared" si="36"/>
        <v>275277</v>
      </c>
      <c r="W111" s="48">
        <f t="shared" si="37"/>
        <v>275277</v>
      </c>
      <c r="X111" s="48">
        <f t="shared" si="38"/>
        <v>275277</v>
      </c>
      <c r="Y111" s="48">
        <f t="shared" si="39"/>
        <v>275277</v>
      </c>
      <c r="Z111" s="48">
        <f t="shared" si="40"/>
        <v>316494.27720580722</v>
      </c>
      <c r="AA111" s="48">
        <f t="shared" si="41"/>
        <v>316494.27720580722</v>
      </c>
      <c r="AB111" s="48">
        <f t="shared" si="42"/>
        <v>316494.27720580722</v>
      </c>
      <c r="AC111" s="48">
        <f t="shared" si="43"/>
        <v>316494.27720580722</v>
      </c>
      <c r="AD111" s="48">
        <f t="shared" si="44"/>
        <v>316494.27720580722</v>
      </c>
      <c r="AE111" s="48">
        <f t="shared" si="45"/>
        <v>316494.27720580722</v>
      </c>
      <c r="AF111" s="48">
        <f t="shared" si="46"/>
        <v>316494.27720580722</v>
      </c>
      <c r="AG111" s="48">
        <f t="shared" si="47"/>
        <v>316494.27720580722</v>
      </c>
      <c r="AH111" s="48">
        <f t="shared" si="48"/>
        <v>316494.27720580722</v>
      </c>
      <c r="AI111" s="48">
        <f t="shared" si="49"/>
        <v>316494.27720580722</v>
      </c>
      <c r="AJ111" s="48">
        <f t="shared" si="50"/>
        <v>316494.27720580722</v>
      </c>
      <c r="AK111" s="48">
        <f t="shared" si="51"/>
        <v>316494.27720580722</v>
      </c>
    </row>
    <row r="112" spans="1:37" x14ac:dyDescent="0.2">
      <c r="A112" s="63">
        <v>1997</v>
      </c>
      <c r="B112" s="63">
        <v>2</v>
      </c>
      <c r="C112" s="49">
        <v>277962</v>
      </c>
      <c r="D112" s="49">
        <v>277837</v>
      </c>
      <c r="E112" s="49">
        <v>277837</v>
      </c>
      <c r="F112" s="49">
        <v>277837</v>
      </c>
      <c r="G112" s="49">
        <v>277837</v>
      </c>
      <c r="H112" s="49">
        <v>277837</v>
      </c>
      <c r="I112" s="49">
        <v>277837</v>
      </c>
      <c r="J112" s="49">
        <v>277837</v>
      </c>
      <c r="K112" s="49">
        <v>278792</v>
      </c>
      <c r="L112" s="49">
        <v>278792</v>
      </c>
      <c r="M112" s="49">
        <v>278792</v>
      </c>
      <c r="N112" s="49">
        <v>278792</v>
      </c>
      <c r="O112" s="49">
        <v>278792</v>
      </c>
      <c r="P112" s="49">
        <v>278792</v>
      </c>
      <c r="Q112" s="49">
        <f t="shared" si="53"/>
        <v>278792</v>
      </c>
      <c r="R112" s="49">
        <f t="shared" si="53"/>
        <v>278792</v>
      </c>
      <c r="S112" s="49">
        <f t="shared" si="53"/>
        <v>278792</v>
      </c>
      <c r="T112" s="48">
        <f t="shared" si="35"/>
        <v>278792</v>
      </c>
      <c r="U112" s="48">
        <f t="shared" si="52"/>
        <v>278792</v>
      </c>
      <c r="V112" s="48">
        <f t="shared" si="36"/>
        <v>278792</v>
      </c>
      <c r="W112" s="48">
        <f t="shared" si="37"/>
        <v>278792</v>
      </c>
      <c r="X112" s="48">
        <f t="shared" si="38"/>
        <v>278792</v>
      </c>
      <c r="Y112" s="48">
        <f t="shared" si="39"/>
        <v>278792</v>
      </c>
      <c r="Z112" s="48">
        <f t="shared" si="40"/>
        <v>320535.5788197394</v>
      </c>
      <c r="AA112" s="48">
        <f t="shared" si="41"/>
        <v>320535.5788197394</v>
      </c>
      <c r="AB112" s="48">
        <f t="shared" si="42"/>
        <v>320535.5788197394</v>
      </c>
      <c r="AC112" s="48">
        <f t="shared" si="43"/>
        <v>320535.5788197394</v>
      </c>
      <c r="AD112" s="48">
        <f t="shared" si="44"/>
        <v>320535.5788197394</v>
      </c>
      <c r="AE112" s="48">
        <f t="shared" si="45"/>
        <v>320535.5788197394</v>
      </c>
      <c r="AF112" s="48">
        <f t="shared" si="46"/>
        <v>320535.5788197394</v>
      </c>
      <c r="AG112" s="48">
        <f t="shared" si="47"/>
        <v>320535.5788197394</v>
      </c>
      <c r="AH112" s="48">
        <f t="shared" si="48"/>
        <v>320535.5788197394</v>
      </c>
      <c r="AI112" s="48">
        <f t="shared" si="49"/>
        <v>320535.5788197394</v>
      </c>
      <c r="AJ112" s="48">
        <f t="shared" si="50"/>
        <v>320535.5788197394</v>
      </c>
      <c r="AK112" s="48">
        <f t="shared" si="51"/>
        <v>320535.5788197394</v>
      </c>
    </row>
    <row r="113" spans="1:41" x14ac:dyDescent="0.2">
      <c r="A113" s="63">
        <v>1997</v>
      </c>
      <c r="B113" s="63">
        <v>3</v>
      </c>
      <c r="C113" s="49">
        <v>279045</v>
      </c>
      <c r="D113" s="49">
        <v>279022</v>
      </c>
      <c r="E113" s="49">
        <v>279022</v>
      </c>
      <c r="F113" s="49">
        <v>279022</v>
      </c>
      <c r="G113" s="49">
        <v>279022</v>
      </c>
      <c r="H113" s="49">
        <v>279022</v>
      </c>
      <c r="I113" s="49">
        <v>279022</v>
      </c>
      <c r="J113" s="49">
        <v>279022</v>
      </c>
      <c r="K113" s="49">
        <v>280046</v>
      </c>
      <c r="L113" s="49">
        <v>280046</v>
      </c>
      <c r="M113" s="49">
        <v>280046</v>
      </c>
      <c r="N113" s="49">
        <v>280046</v>
      </c>
      <c r="O113" s="49">
        <v>280046</v>
      </c>
      <c r="P113" s="49">
        <v>280046</v>
      </c>
      <c r="Q113" s="49">
        <f t="shared" si="53"/>
        <v>280046</v>
      </c>
      <c r="R113" s="49">
        <f t="shared" si="53"/>
        <v>280046</v>
      </c>
      <c r="S113" s="49">
        <f t="shared" si="53"/>
        <v>280046</v>
      </c>
      <c r="T113" s="48">
        <f t="shared" si="35"/>
        <v>280046</v>
      </c>
      <c r="U113" s="48">
        <f t="shared" si="52"/>
        <v>280046</v>
      </c>
      <c r="V113" s="48">
        <f t="shared" si="36"/>
        <v>280046</v>
      </c>
      <c r="W113" s="48">
        <f t="shared" si="37"/>
        <v>280046</v>
      </c>
      <c r="X113" s="48">
        <f t="shared" si="38"/>
        <v>280046</v>
      </c>
      <c r="Y113" s="48">
        <f t="shared" si="39"/>
        <v>280046</v>
      </c>
      <c r="Z113" s="48">
        <f t="shared" si="40"/>
        <v>321977.34047660168</v>
      </c>
      <c r="AA113" s="48">
        <f t="shared" si="41"/>
        <v>321977.34047660168</v>
      </c>
      <c r="AB113" s="48">
        <f t="shared" si="42"/>
        <v>321977.34047660168</v>
      </c>
      <c r="AC113" s="48">
        <f t="shared" si="43"/>
        <v>321977.34047660168</v>
      </c>
      <c r="AD113" s="48">
        <f t="shared" si="44"/>
        <v>321977.34047660168</v>
      </c>
      <c r="AE113" s="48">
        <f t="shared" si="45"/>
        <v>321977.34047660168</v>
      </c>
      <c r="AF113" s="48">
        <f t="shared" si="46"/>
        <v>321977.34047660168</v>
      </c>
      <c r="AG113" s="48">
        <f t="shared" si="47"/>
        <v>321977.34047660168</v>
      </c>
      <c r="AH113" s="48">
        <f t="shared" si="48"/>
        <v>321977.34047660168</v>
      </c>
      <c r="AI113" s="48">
        <f t="shared" si="49"/>
        <v>321977.34047660168</v>
      </c>
      <c r="AJ113" s="48">
        <f t="shared" si="50"/>
        <v>321977.34047660168</v>
      </c>
      <c r="AK113" s="48">
        <f t="shared" si="51"/>
        <v>321977.34047660168</v>
      </c>
    </row>
    <row r="114" spans="1:41" x14ac:dyDescent="0.2">
      <c r="A114" s="63">
        <v>1997</v>
      </c>
      <c r="B114" s="63">
        <v>4</v>
      </c>
      <c r="C114" s="49">
        <v>281455</v>
      </c>
      <c r="D114" s="49">
        <v>281599</v>
      </c>
      <c r="E114" s="49">
        <v>281599</v>
      </c>
      <c r="F114" s="49">
        <v>281599</v>
      </c>
      <c r="G114" s="49">
        <v>281599</v>
      </c>
      <c r="H114" s="49">
        <v>281599</v>
      </c>
      <c r="I114" s="49">
        <v>281599</v>
      </c>
      <c r="J114" s="49">
        <v>281599</v>
      </c>
      <c r="K114" s="49">
        <v>282707</v>
      </c>
      <c r="L114" s="49">
        <v>282707</v>
      </c>
      <c r="M114" s="49">
        <v>282707</v>
      </c>
      <c r="N114" s="49">
        <v>282707</v>
      </c>
      <c r="O114" s="49">
        <v>282707</v>
      </c>
      <c r="P114" s="49">
        <v>282707</v>
      </c>
      <c r="Q114" s="49">
        <f t="shared" si="53"/>
        <v>282707</v>
      </c>
      <c r="R114" s="49">
        <f t="shared" si="53"/>
        <v>282707</v>
      </c>
      <c r="S114" s="49">
        <f t="shared" si="53"/>
        <v>282707</v>
      </c>
      <c r="T114" s="48">
        <f t="shared" si="35"/>
        <v>282707</v>
      </c>
      <c r="U114" s="48">
        <f t="shared" si="52"/>
        <v>282707</v>
      </c>
      <c r="V114" s="48">
        <f t="shared" si="36"/>
        <v>282707</v>
      </c>
      <c r="W114" s="48">
        <f t="shared" si="37"/>
        <v>282707</v>
      </c>
      <c r="X114" s="48">
        <f t="shared" si="38"/>
        <v>282707</v>
      </c>
      <c r="Y114" s="48">
        <f t="shared" si="39"/>
        <v>282707</v>
      </c>
      <c r="Z114" s="48">
        <f t="shared" si="40"/>
        <v>325036.77250922576</v>
      </c>
      <c r="AA114" s="48">
        <f t="shared" si="41"/>
        <v>325036.77250922576</v>
      </c>
      <c r="AB114" s="48">
        <f t="shared" si="42"/>
        <v>325036.77250922576</v>
      </c>
      <c r="AC114" s="48">
        <f t="shared" si="43"/>
        <v>325036.77250922576</v>
      </c>
      <c r="AD114" s="48">
        <f t="shared" si="44"/>
        <v>325036.77250922576</v>
      </c>
      <c r="AE114" s="48">
        <f t="shared" si="45"/>
        <v>325036.77250922576</v>
      </c>
      <c r="AF114" s="48">
        <f t="shared" si="46"/>
        <v>325036.77250922576</v>
      </c>
      <c r="AG114" s="48">
        <f t="shared" si="47"/>
        <v>325036.77250922576</v>
      </c>
      <c r="AH114" s="48">
        <f t="shared" si="48"/>
        <v>325036.77250922576</v>
      </c>
      <c r="AI114" s="48">
        <f t="shared" si="49"/>
        <v>325036.77250922576</v>
      </c>
      <c r="AJ114" s="48">
        <f t="shared" si="50"/>
        <v>325036.77250922576</v>
      </c>
      <c r="AK114" s="48">
        <f t="shared" si="51"/>
        <v>325036.77250922576</v>
      </c>
    </row>
    <row r="115" spans="1:41" x14ac:dyDescent="0.2">
      <c r="A115" s="63">
        <v>1998</v>
      </c>
      <c r="B115" s="63">
        <v>1</v>
      </c>
      <c r="C115" s="49">
        <v>280878</v>
      </c>
      <c r="D115" s="49">
        <v>280903</v>
      </c>
      <c r="E115" s="49">
        <v>280903</v>
      </c>
      <c r="F115" s="49">
        <v>280903</v>
      </c>
      <c r="G115" s="49">
        <v>280903</v>
      </c>
      <c r="H115" s="49">
        <v>280903</v>
      </c>
      <c r="I115" s="49">
        <v>280903</v>
      </c>
      <c r="J115" s="49">
        <v>280903</v>
      </c>
      <c r="K115" s="49">
        <v>282174</v>
      </c>
      <c r="L115" s="49">
        <v>282174</v>
      </c>
      <c r="M115" s="49">
        <v>282174</v>
      </c>
      <c r="N115" s="49">
        <v>282174</v>
      </c>
      <c r="O115" s="49">
        <v>282174</v>
      </c>
      <c r="P115" s="49">
        <v>282174</v>
      </c>
      <c r="Q115" s="49">
        <f t="shared" si="53"/>
        <v>282174</v>
      </c>
      <c r="R115" s="49">
        <f t="shared" si="53"/>
        <v>282174</v>
      </c>
      <c r="S115" s="49">
        <f t="shared" si="53"/>
        <v>282174</v>
      </c>
      <c r="T115" s="48">
        <f t="shared" si="35"/>
        <v>282174</v>
      </c>
      <c r="U115" s="48">
        <f t="shared" si="52"/>
        <v>282174</v>
      </c>
      <c r="V115" s="48">
        <f t="shared" si="36"/>
        <v>282174</v>
      </c>
      <c r="W115" s="48">
        <f t="shared" si="37"/>
        <v>282174</v>
      </c>
      <c r="X115" s="48">
        <f t="shared" si="38"/>
        <v>282174</v>
      </c>
      <c r="Y115" s="48">
        <f t="shared" si="39"/>
        <v>282174</v>
      </c>
      <c r="Z115" s="48">
        <f t="shared" si="40"/>
        <v>324423.96631854982</v>
      </c>
      <c r="AA115" s="48">
        <f t="shared" si="41"/>
        <v>324423.96631854982</v>
      </c>
      <c r="AB115" s="48">
        <f t="shared" si="42"/>
        <v>324423.96631854982</v>
      </c>
      <c r="AC115" s="48">
        <f t="shared" si="43"/>
        <v>324423.96631854982</v>
      </c>
      <c r="AD115" s="48">
        <f t="shared" si="44"/>
        <v>324423.96631854982</v>
      </c>
      <c r="AE115" s="48">
        <f t="shared" si="45"/>
        <v>324423.96631854982</v>
      </c>
      <c r="AF115" s="48">
        <f t="shared" si="46"/>
        <v>324423.96631854982</v>
      </c>
      <c r="AG115" s="48">
        <f t="shared" si="47"/>
        <v>324423.96631854982</v>
      </c>
      <c r="AH115" s="48">
        <f t="shared" si="48"/>
        <v>324423.96631854982</v>
      </c>
      <c r="AI115" s="48">
        <f t="shared" si="49"/>
        <v>324423.96631854982</v>
      </c>
      <c r="AJ115" s="48">
        <f t="shared" si="50"/>
        <v>324423.96631854982</v>
      </c>
      <c r="AK115" s="48">
        <f t="shared" si="51"/>
        <v>324423.96631854982</v>
      </c>
    </row>
    <row r="116" spans="1:41" x14ac:dyDescent="0.2">
      <c r="A116" s="63">
        <v>1998</v>
      </c>
      <c r="B116" s="63">
        <v>2</v>
      </c>
      <c r="C116" s="49">
        <v>281866</v>
      </c>
      <c r="D116" s="49">
        <v>281713</v>
      </c>
      <c r="E116" s="49">
        <v>281713</v>
      </c>
      <c r="F116" s="49">
        <v>281713</v>
      </c>
      <c r="G116" s="49">
        <v>281713</v>
      </c>
      <c r="H116" s="49">
        <v>281713</v>
      </c>
      <c r="I116" s="49">
        <v>281713</v>
      </c>
      <c r="J116" s="49">
        <v>281713</v>
      </c>
      <c r="K116" s="49">
        <v>283068</v>
      </c>
      <c r="L116" s="49">
        <v>283068</v>
      </c>
      <c r="M116" s="49">
        <v>283068</v>
      </c>
      <c r="N116" s="49">
        <v>283068</v>
      </c>
      <c r="O116" s="49">
        <v>283068</v>
      </c>
      <c r="P116" s="49">
        <v>283068</v>
      </c>
      <c r="Q116" s="49">
        <f t="shared" si="53"/>
        <v>283068</v>
      </c>
      <c r="R116" s="49">
        <f t="shared" si="53"/>
        <v>283068</v>
      </c>
      <c r="S116" s="49">
        <f t="shared" si="53"/>
        <v>283068</v>
      </c>
      <c r="T116" s="48">
        <f t="shared" si="35"/>
        <v>283068</v>
      </c>
      <c r="U116" s="48">
        <f t="shared" si="52"/>
        <v>283068</v>
      </c>
      <c r="V116" s="48">
        <f t="shared" si="36"/>
        <v>283068</v>
      </c>
      <c r="W116" s="48">
        <f t="shared" si="37"/>
        <v>283068</v>
      </c>
      <c r="X116" s="48">
        <f t="shared" si="38"/>
        <v>283068</v>
      </c>
      <c r="Y116" s="48">
        <f t="shared" si="39"/>
        <v>283068</v>
      </c>
      <c r="Z116" s="48">
        <f t="shared" si="40"/>
        <v>325451.82510741334</v>
      </c>
      <c r="AA116" s="48">
        <f t="shared" si="41"/>
        <v>325451.82510741334</v>
      </c>
      <c r="AB116" s="48">
        <f t="shared" si="42"/>
        <v>325451.82510741334</v>
      </c>
      <c r="AC116" s="48">
        <f t="shared" si="43"/>
        <v>325451.82510741334</v>
      </c>
      <c r="AD116" s="48">
        <f t="shared" si="44"/>
        <v>325451.82510741334</v>
      </c>
      <c r="AE116" s="48">
        <f t="shared" si="45"/>
        <v>325451.82510741334</v>
      </c>
      <c r="AF116" s="48">
        <f t="shared" si="46"/>
        <v>325451.82510741334</v>
      </c>
      <c r="AG116" s="48">
        <f t="shared" si="47"/>
        <v>325451.82510741334</v>
      </c>
      <c r="AH116" s="48">
        <f t="shared" si="48"/>
        <v>325451.82510741334</v>
      </c>
      <c r="AI116" s="48">
        <f t="shared" si="49"/>
        <v>325451.82510741334</v>
      </c>
      <c r="AJ116" s="48">
        <f t="shared" si="50"/>
        <v>325451.82510741334</v>
      </c>
      <c r="AK116" s="48">
        <f t="shared" si="51"/>
        <v>325451.82510741334</v>
      </c>
    </row>
    <row r="117" spans="1:41" x14ac:dyDescent="0.2">
      <c r="A117" s="63">
        <v>1998</v>
      </c>
      <c r="B117" s="63">
        <v>3</v>
      </c>
      <c r="C117" s="49">
        <v>282759</v>
      </c>
      <c r="D117" s="49">
        <v>282736</v>
      </c>
      <c r="E117" s="49">
        <v>282736</v>
      </c>
      <c r="F117" s="49">
        <v>282736</v>
      </c>
      <c r="G117" s="49">
        <v>282736</v>
      </c>
      <c r="H117" s="49">
        <v>282736</v>
      </c>
      <c r="I117" s="49">
        <v>282736</v>
      </c>
      <c r="J117" s="49">
        <v>282736</v>
      </c>
      <c r="K117" s="49">
        <v>283677</v>
      </c>
      <c r="L117" s="49">
        <v>283677</v>
      </c>
      <c r="M117" s="49">
        <v>283677</v>
      </c>
      <c r="N117" s="49">
        <v>283677</v>
      </c>
      <c r="O117" s="49">
        <v>283677</v>
      </c>
      <c r="P117" s="49">
        <v>283677</v>
      </c>
      <c r="Q117" s="49">
        <f t="shared" si="53"/>
        <v>283677</v>
      </c>
      <c r="R117" s="49">
        <f t="shared" si="53"/>
        <v>283677</v>
      </c>
      <c r="S117" s="49">
        <f t="shared" si="53"/>
        <v>283677</v>
      </c>
      <c r="T117" s="48">
        <f t="shared" si="35"/>
        <v>283677</v>
      </c>
      <c r="U117" s="48">
        <f t="shared" si="52"/>
        <v>283677</v>
      </c>
      <c r="V117" s="48">
        <f t="shared" si="36"/>
        <v>283677</v>
      </c>
      <c r="W117" s="48">
        <f t="shared" si="37"/>
        <v>283677</v>
      </c>
      <c r="X117" s="48">
        <f t="shared" si="38"/>
        <v>283677</v>
      </c>
      <c r="Y117" s="48">
        <f t="shared" si="39"/>
        <v>283677</v>
      </c>
      <c r="Z117" s="48">
        <f t="shared" si="40"/>
        <v>326152.01079244458</v>
      </c>
      <c r="AA117" s="48">
        <f t="shared" si="41"/>
        <v>326152.01079244458</v>
      </c>
      <c r="AB117" s="48">
        <f t="shared" si="42"/>
        <v>326152.01079244458</v>
      </c>
      <c r="AC117" s="48">
        <f t="shared" si="43"/>
        <v>326152.01079244458</v>
      </c>
      <c r="AD117" s="48">
        <f t="shared" si="44"/>
        <v>326152.01079244458</v>
      </c>
      <c r="AE117" s="48">
        <f t="shared" si="45"/>
        <v>326152.01079244458</v>
      </c>
      <c r="AF117" s="48">
        <f t="shared" si="46"/>
        <v>326152.01079244458</v>
      </c>
      <c r="AG117" s="48">
        <f t="shared" si="47"/>
        <v>326152.01079244458</v>
      </c>
      <c r="AH117" s="48">
        <f t="shared" si="48"/>
        <v>326152.01079244458</v>
      </c>
      <c r="AI117" s="48">
        <f t="shared" si="49"/>
        <v>326152.01079244458</v>
      </c>
      <c r="AJ117" s="48">
        <f t="shared" si="50"/>
        <v>326152.01079244458</v>
      </c>
      <c r="AK117" s="48">
        <f t="shared" si="51"/>
        <v>326152.01079244458</v>
      </c>
    </row>
    <row r="118" spans="1:41" x14ac:dyDescent="0.2">
      <c r="A118" s="63">
        <v>1998</v>
      </c>
      <c r="B118" s="63">
        <v>4</v>
      </c>
      <c r="C118" s="49">
        <v>281841</v>
      </c>
      <c r="D118" s="49">
        <v>281992</v>
      </c>
      <c r="E118" s="49">
        <v>281992</v>
      </c>
      <c r="F118" s="49">
        <v>281992</v>
      </c>
      <c r="G118" s="49">
        <v>281992</v>
      </c>
      <c r="H118" s="49">
        <v>281992</v>
      </c>
      <c r="I118" s="49">
        <v>281992</v>
      </c>
      <c r="J118" s="49">
        <v>281992</v>
      </c>
      <c r="K118" s="49">
        <v>282299</v>
      </c>
      <c r="L118" s="49">
        <v>282299</v>
      </c>
      <c r="M118" s="49">
        <v>282299</v>
      </c>
      <c r="N118" s="49">
        <v>282299</v>
      </c>
      <c r="O118" s="49">
        <v>282299</v>
      </c>
      <c r="P118" s="49">
        <v>282299</v>
      </c>
      <c r="Q118" s="49">
        <f t="shared" si="53"/>
        <v>282299</v>
      </c>
      <c r="R118" s="49">
        <f t="shared" si="53"/>
        <v>282299</v>
      </c>
      <c r="S118" s="49">
        <f t="shared" si="53"/>
        <v>282299</v>
      </c>
      <c r="T118" s="48">
        <f>T119*S118/S119</f>
        <v>282299</v>
      </c>
      <c r="U118" s="48">
        <f>U119*T118/T119</f>
        <v>282299</v>
      </c>
      <c r="V118" s="48">
        <f>V119*U118/U119</f>
        <v>282299</v>
      </c>
      <c r="W118" s="48">
        <f t="shared" ref="W118:AK118" si="54">W119*V118/V119</f>
        <v>282299</v>
      </c>
      <c r="X118" s="48">
        <f t="shared" si="54"/>
        <v>282299</v>
      </c>
      <c r="Y118" s="48">
        <f t="shared" si="54"/>
        <v>282299</v>
      </c>
      <c r="Z118" s="48">
        <f t="shared" si="54"/>
        <v>324567.68259216048</v>
      </c>
      <c r="AA118" s="48">
        <f t="shared" si="54"/>
        <v>324567.68259216048</v>
      </c>
      <c r="AB118" s="48">
        <f t="shared" si="54"/>
        <v>324567.68259216048</v>
      </c>
      <c r="AC118" s="48">
        <f t="shared" si="54"/>
        <v>324567.68259216048</v>
      </c>
      <c r="AD118" s="48">
        <f t="shared" si="54"/>
        <v>324567.68259216048</v>
      </c>
      <c r="AE118" s="48">
        <f t="shared" si="54"/>
        <v>324567.68259216048</v>
      </c>
      <c r="AF118" s="48">
        <f t="shared" si="54"/>
        <v>324567.68259216048</v>
      </c>
      <c r="AG118" s="48">
        <f t="shared" si="54"/>
        <v>324567.68259216048</v>
      </c>
      <c r="AH118" s="48">
        <f t="shared" si="54"/>
        <v>324567.68259216048</v>
      </c>
      <c r="AI118" s="48">
        <f t="shared" si="54"/>
        <v>324567.68259216048</v>
      </c>
      <c r="AJ118" s="48">
        <f t="shared" si="54"/>
        <v>324567.68259216048</v>
      </c>
      <c r="AK118" s="48">
        <f t="shared" si="54"/>
        <v>324567.68259216048</v>
      </c>
    </row>
    <row r="119" spans="1:41" x14ac:dyDescent="0.2">
      <c r="A119" s="63">
        <v>1999</v>
      </c>
      <c r="B119" s="63">
        <v>1</v>
      </c>
      <c r="C119" s="49">
        <v>283597</v>
      </c>
      <c r="D119" s="49">
        <v>283674</v>
      </c>
      <c r="E119" s="49">
        <v>283674</v>
      </c>
      <c r="F119" s="49">
        <v>283674</v>
      </c>
      <c r="G119" s="49">
        <v>283674</v>
      </c>
      <c r="H119" s="49">
        <v>283674</v>
      </c>
      <c r="I119" s="49">
        <v>283674</v>
      </c>
      <c r="J119" s="49">
        <v>283674</v>
      </c>
      <c r="K119" s="49">
        <v>283717</v>
      </c>
      <c r="L119" s="49">
        <v>283717</v>
      </c>
      <c r="M119" s="49">
        <v>283717</v>
      </c>
      <c r="N119" s="49">
        <v>283717</v>
      </c>
      <c r="O119" s="49">
        <v>283717</v>
      </c>
      <c r="P119" s="49">
        <v>283717</v>
      </c>
      <c r="Q119" s="49">
        <f t="shared" si="53"/>
        <v>283717</v>
      </c>
      <c r="R119" s="49">
        <f t="shared" si="53"/>
        <v>283717</v>
      </c>
      <c r="S119" s="46">
        <v>283717</v>
      </c>
      <c r="T119" s="50">
        <v>283717</v>
      </c>
      <c r="U119" s="46">
        <v>283717</v>
      </c>
      <c r="V119" s="46">
        <v>283717</v>
      </c>
      <c r="W119" s="13">
        <v>283717</v>
      </c>
      <c r="X119" s="13">
        <v>283717</v>
      </c>
      <c r="Y119" s="13">
        <v>283717</v>
      </c>
      <c r="Z119" s="13">
        <v>326198</v>
      </c>
      <c r="AA119" s="13">
        <v>326198</v>
      </c>
      <c r="AB119" s="13">
        <v>326198</v>
      </c>
      <c r="AC119" s="13">
        <v>326198</v>
      </c>
      <c r="AD119" s="13">
        <v>326198</v>
      </c>
      <c r="AE119" s="13">
        <v>326198</v>
      </c>
      <c r="AF119" s="13">
        <v>326198</v>
      </c>
      <c r="AG119" s="13">
        <v>326198</v>
      </c>
      <c r="AH119" s="13">
        <v>326198</v>
      </c>
      <c r="AI119" s="13">
        <v>326198</v>
      </c>
      <c r="AJ119" s="13">
        <v>326198</v>
      </c>
      <c r="AK119" s="13">
        <v>326198</v>
      </c>
      <c r="AN119" s="46"/>
      <c r="AO119" s="46"/>
    </row>
    <row r="120" spans="1:41" x14ac:dyDescent="0.2">
      <c r="A120" s="63">
        <v>1999</v>
      </c>
      <c r="B120" s="63">
        <v>2</v>
      </c>
      <c r="C120" s="49">
        <v>285425</v>
      </c>
      <c r="D120" s="49">
        <v>285386</v>
      </c>
      <c r="E120" s="49">
        <v>285386</v>
      </c>
      <c r="F120" s="49">
        <v>285386</v>
      </c>
      <c r="G120" s="49">
        <v>285386</v>
      </c>
      <c r="H120" s="49">
        <v>285386</v>
      </c>
      <c r="I120" s="49">
        <v>285386</v>
      </c>
      <c r="J120" s="49">
        <v>285386</v>
      </c>
      <c r="K120" s="49">
        <v>285087</v>
      </c>
      <c r="L120" s="49">
        <v>285087</v>
      </c>
      <c r="M120" s="49">
        <v>285087</v>
      </c>
      <c r="N120" s="49">
        <v>285087</v>
      </c>
      <c r="O120" s="49">
        <v>285087</v>
      </c>
      <c r="P120" s="49">
        <v>285087</v>
      </c>
      <c r="Q120" s="49">
        <f t="shared" si="53"/>
        <v>285087</v>
      </c>
      <c r="R120" s="49">
        <f t="shared" si="53"/>
        <v>285087</v>
      </c>
      <c r="S120" s="46">
        <v>285087</v>
      </c>
      <c r="T120" s="50">
        <v>285087</v>
      </c>
      <c r="U120" s="46">
        <v>285087</v>
      </c>
      <c r="V120" s="46">
        <v>285087</v>
      </c>
      <c r="W120" s="13">
        <v>285087</v>
      </c>
      <c r="X120" s="13">
        <v>285087</v>
      </c>
      <c r="Y120" s="13">
        <v>285087</v>
      </c>
      <c r="Z120" s="13">
        <v>328283</v>
      </c>
      <c r="AA120" s="13">
        <v>328283</v>
      </c>
      <c r="AB120" s="13">
        <v>328283</v>
      </c>
      <c r="AC120" s="13">
        <v>328283</v>
      </c>
      <c r="AD120" s="13">
        <v>328283</v>
      </c>
      <c r="AE120" s="13">
        <v>328283</v>
      </c>
      <c r="AF120" s="13">
        <v>328283</v>
      </c>
      <c r="AG120" s="13">
        <v>328283</v>
      </c>
      <c r="AH120" s="13">
        <v>328283</v>
      </c>
      <c r="AI120" s="13">
        <v>328283</v>
      </c>
      <c r="AJ120" s="13">
        <v>328283</v>
      </c>
      <c r="AK120" s="13">
        <v>328283</v>
      </c>
      <c r="AN120" s="46"/>
      <c r="AO120" s="46"/>
    </row>
    <row r="121" spans="1:41" x14ac:dyDescent="0.2">
      <c r="A121" s="63">
        <v>1999</v>
      </c>
      <c r="B121" s="63">
        <v>3</v>
      </c>
      <c r="C121" s="49">
        <v>288076</v>
      </c>
      <c r="D121" s="49">
        <v>287922</v>
      </c>
      <c r="E121" s="49">
        <v>287922</v>
      </c>
      <c r="F121" s="49">
        <v>287922</v>
      </c>
      <c r="G121" s="49">
        <v>287922</v>
      </c>
      <c r="H121" s="49">
        <v>287922</v>
      </c>
      <c r="I121" s="49">
        <v>287922</v>
      </c>
      <c r="J121" s="49">
        <v>287922</v>
      </c>
      <c r="K121" s="49">
        <v>287309</v>
      </c>
      <c r="L121" s="49">
        <v>287309</v>
      </c>
      <c r="M121" s="49">
        <v>287309</v>
      </c>
      <c r="N121" s="49">
        <v>287309</v>
      </c>
      <c r="O121" s="49">
        <v>287309</v>
      </c>
      <c r="P121" s="49">
        <v>287309</v>
      </c>
      <c r="Q121" s="49">
        <f t="shared" si="53"/>
        <v>287309</v>
      </c>
      <c r="R121" s="49">
        <f t="shared" si="53"/>
        <v>287309</v>
      </c>
      <c r="S121" s="46">
        <v>287309</v>
      </c>
      <c r="T121" s="50">
        <v>287309</v>
      </c>
      <c r="U121" s="46">
        <v>287309</v>
      </c>
      <c r="V121" s="46">
        <v>287309</v>
      </c>
      <c r="W121" s="13">
        <v>287309</v>
      </c>
      <c r="X121" s="13">
        <v>287309</v>
      </c>
      <c r="Y121" s="13">
        <v>287309</v>
      </c>
      <c r="Z121" s="13">
        <v>329681</v>
      </c>
      <c r="AA121" s="13">
        <v>329681</v>
      </c>
      <c r="AB121" s="13">
        <v>329681</v>
      </c>
      <c r="AC121" s="13">
        <v>329681</v>
      </c>
      <c r="AD121" s="13">
        <v>329681</v>
      </c>
      <c r="AE121" s="13">
        <v>329681</v>
      </c>
      <c r="AF121" s="13">
        <v>329681</v>
      </c>
      <c r="AG121" s="13">
        <v>329681</v>
      </c>
      <c r="AH121" s="13">
        <v>329681</v>
      </c>
      <c r="AI121" s="13">
        <v>329681</v>
      </c>
      <c r="AJ121" s="13">
        <v>329681</v>
      </c>
      <c r="AK121" s="13">
        <v>329681</v>
      </c>
      <c r="AN121" s="46"/>
      <c r="AO121" s="46"/>
    </row>
    <row r="122" spans="1:41" x14ac:dyDescent="0.2">
      <c r="A122" s="63">
        <v>1999</v>
      </c>
      <c r="B122" s="63">
        <v>4</v>
      </c>
      <c r="C122" s="49">
        <v>291512</v>
      </c>
      <c r="D122" s="49">
        <v>291628</v>
      </c>
      <c r="E122" s="49">
        <v>291628</v>
      </c>
      <c r="F122" s="49">
        <v>291628</v>
      </c>
      <c r="G122" s="49">
        <v>291628</v>
      </c>
      <c r="H122" s="49">
        <v>291628</v>
      </c>
      <c r="I122" s="49">
        <v>291628</v>
      </c>
      <c r="J122" s="49">
        <v>291628</v>
      </c>
      <c r="K122" s="49">
        <v>291267</v>
      </c>
      <c r="L122" s="49">
        <v>291267</v>
      </c>
      <c r="M122" s="49">
        <v>291267</v>
      </c>
      <c r="N122" s="49">
        <v>291267</v>
      </c>
      <c r="O122" s="49">
        <v>291267</v>
      </c>
      <c r="P122" s="49">
        <v>291267</v>
      </c>
      <c r="Q122" s="49">
        <f t="shared" si="53"/>
        <v>291267</v>
      </c>
      <c r="R122" s="49">
        <f t="shared" si="53"/>
        <v>291267</v>
      </c>
      <c r="S122" s="46">
        <v>291267</v>
      </c>
      <c r="T122" s="50">
        <v>291267</v>
      </c>
      <c r="U122" s="46">
        <v>291267</v>
      </c>
      <c r="V122" s="46">
        <v>291267</v>
      </c>
      <c r="W122" s="13">
        <v>291267</v>
      </c>
      <c r="X122" s="13">
        <v>291267</v>
      </c>
      <c r="Y122" s="13">
        <v>291267</v>
      </c>
      <c r="Z122" s="13">
        <v>333702</v>
      </c>
      <c r="AA122" s="13">
        <v>333702</v>
      </c>
      <c r="AB122" s="13">
        <v>333702</v>
      </c>
      <c r="AC122" s="13">
        <v>333702</v>
      </c>
      <c r="AD122" s="13">
        <v>333702</v>
      </c>
      <c r="AE122" s="13">
        <v>333702</v>
      </c>
      <c r="AF122" s="13">
        <v>333702</v>
      </c>
      <c r="AG122" s="13">
        <v>333702</v>
      </c>
      <c r="AH122" s="13">
        <v>333702</v>
      </c>
      <c r="AI122" s="13">
        <v>333702</v>
      </c>
      <c r="AJ122" s="13">
        <v>333702</v>
      </c>
      <c r="AK122" s="13">
        <v>333702</v>
      </c>
      <c r="AN122" s="46"/>
      <c r="AO122" s="46"/>
    </row>
    <row r="123" spans="1:41" x14ac:dyDescent="0.2">
      <c r="A123" s="63">
        <v>2000</v>
      </c>
      <c r="B123" s="63">
        <v>1</v>
      </c>
      <c r="C123" s="49">
        <v>294575</v>
      </c>
      <c r="D123" s="49">
        <v>294417</v>
      </c>
      <c r="E123" s="49">
        <v>294417</v>
      </c>
      <c r="F123" s="49">
        <v>294417</v>
      </c>
      <c r="G123" s="49">
        <v>294417</v>
      </c>
      <c r="H123" s="49">
        <v>294417</v>
      </c>
      <c r="I123" s="49">
        <v>294417</v>
      </c>
      <c r="J123" s="49">
        <v>294417</v>
      </c>
      <c r="K123" s="49">
        <v>294221</v>
      </c>
      <c r="L123" s="49">
        <v>294221</v>
      </c>
      <c r="M123" s="49">
        <v>294221</v>
      </c>
      <c r="N123" s="49">
        <v>294221</v>
      </c>
      <c r="O123" s="49">
        <v>294221</v>
      </c>
      <c r="P123" s="49">
        <v>294221</v>
      </c>
      <c r="Q123" s="49">
        <f t="shared" si="53"/>
        <v>294221</v>
      </c>
      <c r="R123" s="49">
        <f t="shared" si="53"/>
        <v>294221</v>
      </c>
      <c r="S123" s="46">
        <v>294221</v>
      </c>
      <c r="T123" s="50">
        <v>294221</v>
      </c>
      <c r="U123" s="46">
        <v>294221</v>
      </c>
      <c r="V123" s="46">
        <v>294221</v>
      </c>
      <c r="W123" s="13">
        <v>294221</v>
      </c>
      <c r="X123" s="13">
        <v>294221</v>
      </c>
      <c r="Y123" s="13">
        <v>294221</v>
      </c>
      <c r="Z123" s="13">
        <v>338362</v>
      </c>
      <c r="AA123" s="13">
        <v>338362</v>
      </c>
      <c r="AB123" s="13">
        <v>338362</v>
      </c>
      <c r="AC123" s="13">
        <v>338362</v>
      </c>
      <c r="AD123" s="13">
        <v>338362</v>
      </c>
      <c r="AE123" s="13">
        <v>338362</v>
      </c>
      <c r="AF123" s="13">
        <v>338362</v>
      </c>
      <c r="AG123" s="13">
        <v>338362</v>
      </c>
      <c r="AH123" s="13">
        <v>338362</v>
      </c>
      <c r="AI123" s="13">
        <v>338362</v>
      </c>
      <c r="AJ123" s="13">
        <v>338362</v>
      </c>
      <c r="AK123" s="13">
        <v>338362</v>
      </c>
      <c r="AN123" s="46"/>
      <c r="AO123" s="46"/>
    </row>
    <row r="124" spans="1:41" x14ac:dyDescent="0.2">
      <c r="A124" s="63">
        <v>2000</v>
      </c>
      <c r="B124" s="63">
        <v>2</v>
      </c>
      <c r="C124" s="49">
        <v>296653</v>
      </c>
      <c r="D124" s="49">
        <v>296582</v>
      </c>
      <c r="E124" s="49">
        <v>296582</v>
      </c>
      <c r="F124" s="49">
        <v>296582</v>
      </c>
      <c r="G124" s="49">
        <v>296582</v>
      </c>
      <c r="H124" s="49">
        <v>296582</v>
      </c>
      <c r="I124" s="49">
        <v>296582</v>
      </c>
      <c r="J124" s="49">
        <v>296582</v>
      </c>
      <c r="K124" s="49">
        <v>296155</v>
      </c>
      <c r="L124" s="49">
        <v>296155</v>
      </c>
      <c r="M124" s="49">
        <v>296155</v>
      </c>
      <c r="N124" s="49">
        <v>296155</v>
      </c>
      <c r="O124" s="49">
        <v>296155</v>
      </c>
      <c r="P124" s="49">
        <v>296155</v>
      </c>
      <c r="Q124" s="49">
        <f t="shared" si="53"/>
        <v>296155</v>
      </c>
      <c r="R124" s="49">
        <f t="shared" si="53"/>
        <v>296155</v>
      </c>
      <c r="S124" s="46">
        <v>296155</v>
      </c>
      <c r="T124" s="50">
        <v>296155</v>
      </c>
      <c r="U124" s="46">
        <v>296155</v>
      </c>
      <c r="V124" s="46">
        <v>296155</v>
      </c>
      <c r="W124" s="13">
        <v>296155</v>
      </c>
      <c r="X124" s="13">
        <v>296155</v>
      </c>
      <c r="Y124" s="13">
        <v>296155</v>
      </c>
      <c r="Z124" s="13">
        <v>340786</v>
      </c>
      <c r="AA124" s="13">
        <v>340786</v>
      </c>
      <c r="AB124" s="13">
        <v>340786</v>
      </c>
      <c r="AC124" s="13">
        <v>340786</v>
      </c>
      <c r="AD124" s="13">
        <v>340786</v>
      </c>
      <c r="AE124" s="13">
        <v>340786</v>
      </c>
      <c r="AF124" s="13">
        <v>340786</v>
      </c>
      <c r="AG124" s="13">
        <v>340786</v>
      </c>
      <c r="AH124" s="13">
        <v>340786</v>
      </c>
      <c r="AI124" s="13">
        <v>340786</v>
      </c>
      <c r="AJ124" s="13">
        <v>340786</v>
      </c>
      <c r="AK124" s="13">
        <v>340786</v>
      </c>
      <c r="AN124" s="46"/>
      <c r="AO124" s="46"/>
    </row>
    <row r="125" spans="1:41" x14ac:dyDescent="0.2">
      <c r="A125" s="63">
        <v>2000</v>
      </c>
      <c r="B125" s="63">
        <v>3</v>
      </c>
      <c r="C125" s="49">
        <v>299196</v>
      </c>
      <c r="D125" s="49">
        <v>299197</v>
      </c>
      <c r="E125" s="49">
        <v>299197</v>
      </c>
      <c r="F125" s="49">
        <v>299197</v>
      </c>
      <c r="G125" s="49">
        <v>299197</v>
      </c>
      <c r="H125" s="49">
        <v>299197</v>
      </c>
      <c r="I125" s="49">
        <v>299197</v>
      </c>
      <c r="J125" s="49">
        <v>299197</v>
      </c>
      <c r="K125" s="49">
        <v>299135</v>
      </c>
      <c r="L125" s="49">
        <v>299135</v>
      </c>
      <c r="M125" s="49">
        <v>299135</v>
      </c>
      <c r="N125" s="49">
        <v>299135</v>
      </c>
      <c r="O125" s="49">
        <v>299135</v>
      </c>
      <c r="P125" s="49">
        <v>299135</v>
      </c>
      <c r="Q125" s="49">
        <f t="shared" si="53"/>
        <v>299135</v>
      </c>
      <c r="R125" s="49">
        <f t="shared" si="53"/>
        <v>299135</v>
      </c>
      <c r="S125" s="46">
        <v>299135</v>
      </c>
      <c r="T125" s="50">
        <v>299135</v>
      </c>
      <c r="U125" s="46">
        <v>299135</v>
      </c>
      <c r="V125" s="46">
        <v>299135</v>
      </c>
      <c r="W125" s="13">
        <v>299135</v>
      </c>
      <c r="X125" s="13">
        <v>299135</v>
      </c>
      <c r="Y125" s="13">
        <v>299135</v>
      </c>
      <c r="Z125" s="13">
        <v>343297</v>
      </c>
      <c r="AA125" s="13">
        <v>343297</v>
      </c>
      <c r="AB125" s="13">
        <v>343297</v>
      </c>
      <c r="AC125" s="13">
        <v>343297</v>
      </c>
      <c r="AD125" s="13">
        <v>343297</v>
      </c>
      <c r="AE125" s="13">
        <v>343297</v>
      </c>
      <c r="AF125" s="13">
        <v>343297</v>
      </c>
      <c r="AG125" s="13">
        <v>343297</v>
      </c>
      <c r="AH125" s="13">
        <v>343297</v>
      </c>
      <c r="AI125" s="13">
        <v>343297</v>
      </c>
      <c r="AJ125" s="13">
        <v>343297</v>
      </c>
      <c r="AK125" s="13">
        <v>343297</v>
      </c>
      <c r="AN125" s="46"/>
      <c r="AO125" s="46"/>
    </row>
    <row r="126" spans="1:41" x14ac:dyDescent="0.2">
      <c r="A126" s="63">
        <v>2000</v>
      </c>
      <c r="B126" s="63">
        <v>4</v>
      </c>
      <c r="C126" s="49">
        <v>301496</v>
      </c>
      <c r="D126" s="49">
        <v>301724</v>
      </c>
      <c r="E126" s="49">
        <v>301724</v>
      </c>
      <c r="F126" s="49">
        <v>301724</v>
      </c>
      <c r="G126" s="49">
        <v>301724</v>
      </c>
      <c r="H126" s="49">
        <v>301724</v>
      </c>
      <c r="I126" s="49">
        <v>301724</v>
      </c>
      <c r="J126" s="49">
        <v>301724</v>
      </c>
      <c r="K126" s="49">
        <v>302326</v>
      </c>
      <c r="L126" s="49">
        <v>302326</v>
      </c>
      <c r="M126" s="49">
        <v>302326</v>
      </c>
      <c r="N126" s="49">
        <v>302326</v>
      </c>
      <c r="O126" s="49">
        <v>302326</v>
      </c>
      <c r="P126" s="49">
        <v>302326</v>
      </c>
      <c r="Q126" s="49">
        <f t="shared" si="53"/>
        <v>302326</v>
      </c>
      <c r="R126" s="49">
        <f t="shared" si="53"/>
        <v>302326</v>
      </c>
      <c r="S126" s="46">
        <v>302326</v>
      </c>
      <c r="T126" s="50">
        <v>302326</v>
      </c>
      <c r="U126" s="46">
        <v>302326</v>
      </c>
      <c r="V126" s="46">
        <v>302326</v>
      </c>
      <c r="W126" s="13">
        <v>302326</v>
      </c>
      <c r="X126" s="13">
        <v>302326</v>
      </c>
      <c r="Y126" s="13">
        <v>302326</v>
      </c>
      <c r="Z126" s="13">
        <v>346722</v>
      </c>
      <c r="AA126" s="13">
        <v>346722</v>
      </c>
      <c r="AB126" s="13">
        <v>346722</v>
      </c>
      <c r="AC126" s="13">
        <v>346722</v>
      </c>
      <c r="AD126" s="13">
        <v>346722</v>
      </c>
      <c r="AE126" s="13">
        <v>346722</v>
      </c>
      <c r="AF126" s="13">
        <v>346722</v>
      </c>
      <c r="AG126" s="13">
        <v>346722</v>
      </c>
      <c r="AH126" s="13">
        <v>346722</v>
      </c>
      <c r="AI126" s="13">
        <v>346722</v>
      </c>
      <c r="AJ126" s="13">
        <v>346722</v>
      </c>
      <c r="AK126" s="13">
        <v>346722</v>
      </c>
      <c r="AN126" s="46"/>
      <c r="AO126" s="46"/>
    </row>
    <row r="127" spans="1:41" x14ac:dyDescent="0.2">
      <c r="A127" s="63">
        <v>2001</v>
      </c>
      <c r="B127" s="63">
        <v>1</v>
      </c>
      <c r="C127" s="49">
        <v>303993</v>
      </c>
      <c r="D127" s="49">
        <v>304069</v>
      </c>
      <c r="E127" s="49">
        <v>304069</v>
      </c>
      <c r="F127" s="49">
        <v>304069</v>
      </c>
      <c r="G127" s="49">
        <v>304069</v>
      </c>
      <c r="H127" s="49">
        <v>304069</v>
      </c>
      <c r="I127" s="49">
        <v>304069</v>
      </c>
      <c r="J127" s="49">
        <v>304069</v>
      </c>
      <c r="K127" s="49">
        <v>304353</v>
      </c>
      <c r="L127" s="49">
        <v>304353</v>
      </c>
      <c r="M127" s="49">
        <v>304353</v>
      </c>
      <c r="N127" s="49">
        <v>304353</v>
      </c>
      <c r="O127" s="49">
        <v>304353</v>
      </c>
      <c r="P127" s="49">
        <v>304353</v>
      </c>
      <c r="Q127" s="49">
        <f t="shared" si="53"/>
        <v>304353</v>
      </c>
      <c r="R127" s="49">
        <f t="shared" si="53"/>
        <v>304353</v>
      </c>
      <c r="S127" s="46">
        <v>304353</v>
      </c>
      <c r="T127" s="50">
        <v>304353</v>
      </c>
      <c r="U127" s="46">
        <v>304353</v>
      </c>
      <c r="V127" s="46">
        <v>304353</v>
      </c>
      <c r="W127" s="13">
        <v>304353</v>
      </c>
      <c r="X127" s="13">
        <v>304353</v>
      </c>
      <c r="Y127" s="13">
        <v>304353</v>
      </c>
      <c r="Z127" s="13">
        <v>349407</v>
      </c>
      <c r="AA127" s="13">
        <v>349407</v>
      </c>
      <c r="AB127" s="13">
        <v>349407</v>
      </c>
      <c r="AC127" s="13">
        <v>349407</v>
      </c>
      <c r="AD127" s="13">
        <v>349407</v>
      </c>
      <c r="AE127" s="13">
        <v>349407</v>
      </c>
      <c r="AF127" s="13">
        <v>349407</v>
      </c>
      <c r="AG127" s="13">
        <v>349407</v>
      </c>
      <c r="AH127" s="13">
        <v>349407</v>
      </c>
      <c r="AI127" s="13">
        <v>349407</v>
      </c>
      <c r="AJ127" s="13">
        <v>349407</v>
      </c>
      <c r="AK127" s="13">
        <v>349407</v>
      </c>
      <c r="AN127" s="46"/>
      <c r="AO127" s="46"/>
    </row>
    <row r="128" spans="1:41" x14ac:dyDescent="0.2">
      <c r="A128" s="63">
        <v>2001</v>
      </c>
      <c r="B128" s="63">
        <v>2</v>
      </c>
      <c r="C128" s="49">
        <v>303498</v>
      </c>
      <c r="D128" s="49">
        <v>303364</v>
      </c>
      <c r="E128" s="49">
        <v>303364</v>
      </c>
      <c r="F128" s="49">
        <v>303364</v>
      </c>
      <c r="G128" s="49">
        <v>303364</v>
      </c>
      <c r="H128" s="49">
        <v>303364</v>
      </c>
      <c r="I128" s="49">
        <v>303364</v>
      </c>
      <c r="J128" s="49">
        <v>303364</v>
      </c>
      <c r="K128" s="49">
        <v>303281</v>
      </c>
      <c r="L128" s="49">
        <v>303281</v>
      </c>
      <c r="M128" s="49">
        <v>303281</v>
      </c>
      <c r="N128" s="49">
        <v>303281</v>
      </c>
      <c r="O128" s="49">
        <v>303281</v>
      </c>
      <c r="P128" s="49">
        <v>303281</v>
      </c>
      <c r="Q128" s="49">
        <f t="shared" si="53"/>
        <v>303281</v>
      </c>
      <c r="R128" s="49">
        <f t="shared" si="53"/>
        <v>303281</v>
      </c>
      <c r="S128" s="46">
        <v>303281</v>
      </c>
      <c r="T128" s="50">
        <v>303281</v>
      </c>
      <c r="U128" s="46">
        <v>303281</v>
      </c>
      <c r="V128" s="46">
        <v>303281</v>
      </c>
      <c r="W128" s="13">
        <v>303281</v>
      </c>
      <c r="X128" s="13">
        <v>303281</v>
      </c>
      <c r="Y128" s="13">
        <v>303281</v>
      </c>
      <c r="Z128" s="13">
        <v>348126</v>
      </c>
      <c r="AA128" s="13">
        <v>348126</v>
      </c>
      <c r="AB128" s="13">
        <v>348126</v>
      </c>
      <c r="AC128" s="13">
        <v>348126</v>
      </c>
      <c r="AD128" s="13">
        <v>348126</v>
      </c>
      <c r="AE128" s="13">
        <v>348126</v>
      </c>
      <c r="AF128" s="13">
        <v>348126</v>
      </c>
      <c r="AG128" s="13">
        <v>348126</v>
      </c>
      <c r="AH128" s="13">
        <v>348126</v>
      </c>
      <c r="AI128" s="13">
        <v>348126</v>
      </c>
      <c r="AJ128" s="13">
        <v>348126</v>
      </c>
      <c r="AK128" s="13">
        <v>348126</v>
      </c>
      <c r="AN128" s="46"/>
      <c r="AO128" s="46"/>
    </row>
    <row r="129" spans="1:41" x14ac:dyDescent="0.2">
      <c r="A129" s="63">
        <v>2001</v>
      </c>
      <c r="B129" s="63">
        <v>3</v>
      </c>
      <c r="C129" s="49">
        <v>302820</v>
      </c>
      <c r="D129" s="49">
        <v>302799</v>
      </c>
      <c r="E129" s="49">
        <v>302799</v>
      </c>
      <c r="F129" s="49">
        <v>302799</v>
      </c>
      <c r="G129" s="49">
        <v>302799</v>
      </c>
      <c r="H129" s="49">
        <v>302799</v>
      </c>
      <c r="I129" s="49">
        <v>302799</v>
      </c>
      <c r="J129" s="49">
        <v>302799</v>
      </c>
      <c r="K129" s="49">
        <v>302564</v>
      </c>
      <c r="L129" s="49">
        <v>302564</v>
      </c>
      <c r="M129" s="49">
        <v>302564</v>
      </c>
      <c r="N129" s="49">
        <v>302564</v>
      </c>
      <c r="O129" s="49">
        <v>302564</v>
      </c>
      <c r="P129" s="49">
        <v>302564</v>
      </c>
      <c r="Q129" s="49">
        <f t="shared" si="53"/>
        <v>302564</v>
      </c>
      <c r="R129" s="49">
        <f t="shared" si="53"/>
        <v>302564</v>
      </c>
      <c r="S129" s="46">
        <v>302564</v>
      </c>
      <c r="T129" s="50">
        <v>302564</v>
      </c>
      <c r="U129" s="46">
        <v>302564</v>
      </c>
      <c r="V129" s="46">
        <v>302564</v>
      </c>
      <c r="W129" s="13">
        <v>302564</v>
      </c>
      <c r="X129" s="13">
        <v>302564</v>
      </c>
      <c r="Y129" s="13">
        <v>302564</v>
      </c>
      <c r="Z129" s="13">
        <v>347518</v>
      </c>
      <c r="AA129" s="13">
        <v>347518</v>
      </c>
      <c r="AB129" s="13">
        <v>347518</v>
      </c>
      <c r="AC129" s="13">
        <v>347518</v>
      </c>
      <c r="AD129" s="13">
        <v>347518</v>
      </c>
      <c r="AE129" s="13">
        <v>347518</v>
      </c>
      <c r="AF129" s="13">
        <v>347518</v>
      </c>
      <c r="AG129" s="13">
        <v>347518</v>
      </c>
      <c r="AH129" s="13">
        <v>347518</v>
      </c>
      <c r="AI129" s="13">
        <v>347518</v>
      </c>
      <c r="AJ129" s="13">
        <v>347518</v>
      </c>
      <c r="AK129" s="13">
        <v>347518</v>
      </c>
      <c r="AN129" s="46"/>
      <c r="AO129" s="46"/>
    </row>
    <row r="130" spans="1:41" x14ac:dyDescent="0.2">
      <c r="A130" s="63">
        <v>2001</v>
      </c>
      <c r="B130" s="63">
        <v>4</v>
      </c>
      <c r="C130" s="49">
        <v>302155</v>
      </c>
      <c r="D130" s="49">
        <v>302234</v>
      </c>
      <c r="E130" s="49">
        <v>302234</v>
      </c>
      <c r="F130" s="49">
        <v>302234</v>
      </c>
      <c r="G130" s="49">
        <v>302234</v>
      </c>
      <c r="H130" s="49">
        <v>302234</v>
      </c>
      <c r="I130" s="49">
        <v>302234</v>
      </c>
      <c r="J130" s="49">
        <v>302234</v>
      </c>
      <c r="K130" s="49">
        <v>302449</v>
      </c>
      <c r="L130" s="49">
        <v>302449</v>
      </c>
      <c r="M130" s="49">
        <v>302449</v>
      </c>
      <c r="N130" s="49">
        <v>302449</v>
      </c>
      <c r="O130" s="49">
        <v>302449</v>
      </c>
      <c r="P130" s="49">
        <v>302449</v>
      </c>
      <c r="Q130" s="49">
        <f t="shared" si="53"/>
        <v>302449</v>
      </c>
      <c r="R130" s="49">
        <f t="shared" si="53"/>
        <v>302449</v>
      </c>
      <c r="S130" s="46">
        <v>302449</v>
      </c>
      <c r="T130" s="50">
        <v>302449</v>
      </c>
      <c r="U130" s="46">
        <v>302449</v>
      </c>
      <c r="V130" s="46">
        <v>302449</v>
      </c>
      <c r="W130" s="13">
        <v>302449</v>
      </c>
      <c r="X130" s="13">
        <v>302449</v>
      </c>
      <c r="Y130" s="13">
        <v>302449</v>
      </c>
      <c r="Z130" s="13">
        <v>348160</v>
      </c>
      <c r="AA130" s="13">
        <v>348160</v>
      </c>
      <c r="AB130" s="13">
        <v>348160</v>
      </c>
      <c r="AC130" s="13">
        <v>348160</v>
      </c>
      <c r="AD130" s="13">
        <v>348160</v>
      </c>
      <c r="AE130" s="13">
        <v>348160</v>
      </c>
      <c r="AF130" s="13">
        <v>348160</v>
      </c>
      <c r="AG130" s="13">
        <v>348160</v>
      </c>
      <c r="AH130" s="13">
        <v>348160</v>
      </c>
      <c r="AI130" s="13">
        <v>348160</v>
      </c>
      <c r="AJ130" s="13">
        <v>348160</v>
      </c>
      <c r="AK130" s="13">
        <v>348160</v>
      </c>
      <c r="AN130" s="46"/>
      <c r="AO130" s="46"/>
    </row>
    <row r="131" spans="1:41" x14ac:dyDescent="0.2">
      <c r="A131" s="63">
        <v>2002</v>
      </c>
      <c r="B131" s="63">
        <v>1</v>
      </c>
      <c r="C131" s="49">
        <v>302693</v>
      </c>
      <c r="D131" s="49">
        <v>302484</v>
      </c>
      <c r="E131" s="49">
        <v>302484</v>
      </c>
      <c r="F131" s="49">
        <v>302484</v>
      </c>
      <c r="G131" s="49">
        <v>302537</v>
      </c>
      <c r="H131" s="49">
        <v>302537</v>
      </c>
      <c r="I131" s="49">
        <v>302537</v>
      </c>
      <c r="J131" s="49">
        <v>302537</v>
      </c>
      <c r="K131" s="49">
        <v>303242</v>
      </c>
      <c r="L131" s="49">
        <v>303242</v>
      </c>
      <c r="M131" s="49">
        <v>303242</v>
      </c>
      <c r="N131" s="49">
        <v>303242</v>
      </c>
      <c r="O131" s="49">
        <v>303242</v>
      </c>
      <c r="P131" s="49">
        <v>303242</v>
      </c>
      <c r="Q131" s="49">
        <f t="shared" si="53"/>
        <v>303242</v>
      </c>
      <c r="R131" s="49">
        <f t="shared" si="53"/>
        <v>303242</v>
      </c>
      <c r="S131" s="46">
        <v>303242</v>
      </c>
      <c r="T131" s="50">
        <v>303242</v>
      </c>
      <c r="U131" s="46">
        <v>303242</v>
      </c>
      <c r="V131" s="46">
        <v>303242</v>
      </c>
      <c r="W131" s="13">
        <v>303242</v>
      </c>
      <c r="X131" s="13">
        <v>303242</v>
      </c>
      <c r="Y131" s="13">
        <v>303242</v>
      </c>
      <c r="Z131" s="13">
        <v>348084</v>
      </c>
      <c r="AA131" s="13">
        <v>348084</v>
      </c>
      <c r="AB131" s="13">
        <v>348084</v>
      </c>
      <c r="AC131" s="13">
        <v>348084</v>
      </c>
      <c r="AD131" s="13">
        <v>348084</v>
      </c>
      <c r="AE131" s="13">
        <v>348084</v>
      </c>
      <c r="AF131" s="13">
        <v>348084</v>
      </c>
      <c r="AG131" s="13">
        <v>348084</v>
      </c>
      <c r="AH131" s="13">
        <v>348084</v>
      </c>
      <c r="AI131" s="13">
        <v>348084</v>
      </c>
      <c r="AJ131" s="13">
        <v>348084</v>
      </c>
      <c r="AK131" s="13">
        <v>348084</v>
      </c>
      <c r="AN131" s="46"/>
      <c r="AO131" s="46"/>
    </row>
    <row r="132" spans="1:41" x14ac:dyDescent="0.2">
      <c r="A132" s="63">
        <v>2002</v>
      </c>
      <c r="B132" s="63">
        <v>2</v>
      </c>
      <c r="C132" s="49">
        <v>303997</v>
      </c>
      <c r="D132" s="49">
        <v>303940</v>
      </c>
      <c r="E132" s="49">
        <v>303940</v>
      </c>
      <c r="F132" s="49">
        <v>303940</v>
      </c>
      <c r="G132" s="49">
        <v>303954</v>
      </c>
      <c r="H132" s="49">
        <v>303954</v>
      </c>
      <c r="I132" s="49">
        <v>303954</v>
      </c>
      <c r="J132" s="49">
        <v>303954</v>
      </c>
      <c r="K132" s="49">
        <v>304524</v>
      </c>
      <c r="L132" s="49">
        <v>304524</v>
      </c>
      <c r="M132" s="49">
        <v>304524</v>
      </c>
      <c r="N132" s="49">
        <v>304524</v>
      </c>
      <c r="O132" s="49">
        <v>304524</v>
      </c>
      <c r="P132" s="49">
        <v>304524</v>
      </c>
      <c r="Q132" s="49">
        <f t="shared" si="53"/>
        <v>304524</v>
      </c>
      <c r="R132" s="49">
        <f t="shared" si="53"/>
        <v>304524</v>
      </c>
      <c r="S132" s="46">
        <v>304524</v>
      </c>
      <c r="T132" s="50">
        <v>304524</v>
      </c>
      <c r="U132" s="46">
        <v>304524</v>
      </c>
      <c r="V132" s="46">
        <v>304524</v>
      </c>
      <c r="W132" s="13">
        <v>304524</v>
      </c>
      <c r="X132" s="13">
        <v>304524</v>
      </c>
      <c r="Y132" s="13">
        <v>304524</v>
      </c>
      <c r="Z132" s="13">
        <v>350394</v>
      </c>
      <c r="AA132" s="13">
        <v>350394</v>
      </c>
      <c r="AB132" s="13">
        <v>350394</v>
      </c>
      <c r="AC132" s="13">
        <v>350394</v>
      </c>
      <c r="AD132" s="13">
        <v>350394</v>
      </c>
      <c r="AE132" s="13">
        <v>350394</v>
      </c>
      <c r="AF132" s="13">
        <v>350394</v>
      </c>
      <c r="AG132" s="13">
        <v>350394</v>
      </c>
      <c r="AH132" s="13">
        <v>350394</v>
      </c>
      <c r="AI132" s="13">
        <v>350394</v>
      </c>
      <c r="AJ132" s="13">
        <v>350394</v>
      </c>
      <c r="AK132" s="13">
        <v>350394</v>
      </c>
      <c r="AN132" s="46"/>
      <c r="AO132" s="46"/>
    </row>
    <row r="133" spans="1:41" x14ac:dyDescent="0.2">
      <c r="A133" s="63">
        <v>2002</v>
      </c>
      <c r="B133" s="63">
        <v>3</v>
      </c>
      <c r="C133" s="49">
        <v>304886</v>
      </c>
      <c r="D133" s="49">
        <v>305003</v>
      </c>
      <c r="E133" s="49">
        <v>305003</v>
      </c>
      <c r="F133" s="49">
        <v>305003</v>
      </c>
      <c r="G133" s="49">
        <v>304834</v>
      </c>
      <c r="H133" s="49">
        <v>304834</v>
      </c>
      <c r="I133" s="49">
        <v>304834</v>
      </c>
      <c r="J133" s="49">
        <v>304834</v>
      </c>
      <c r="K133" s="49">
        <v>304899</v>
      </c>
      <c r="L133" s="49">
        <v>304899</v>
      </c>
      <c r="M133" s="49">
        <v>304899</v>
      </c>
      <c r="N133" s="49">
        <v>304899</v>
      </c>
      <c r="O133" s="49">
        <v>304899</v>
      </c>
      <c r="P133" s="49">
        <v>304899</v>
      </c>
      <c r="Q133" s="49">
        <f t="shared" si="53"/>
        <v>304899</v>
      </c>
      <c r="R133" s="49">
        <f t="shared" si="53"/>
        <v>304899</v>
      </c>
      <c r="S133" s="46">
        <v>304899</v>
      </c>
      <c r="T133" s="50">
        <v>304899</v>
      </c>
      <c r="U133" s="46">
        <v>304899</v>
      </c>
      <c r="V133" s="46">
        <v>304899</v>
      </c>
      <c r="W133" s="13">
        <v>304899</v>
      </c>
      <c r="X133" s="13">
        <v>304899</v>
      </c>
      <c r="Y133" s="13">
        <v>304899</v>
      </c>
      <c r="Z133" s="13">
        <v>350634</v>
      </c>
      <c r="AA133" s="13">
        <v>350634</v>
      </c>
      <c r="AB133" s="13">
        <v>350634</v>
      </c>
      <c r="AC133" s="13">
        <v>350634</v>
      </c>
      <c r="AD133" s="13">
        <v>350634</v>
      </c>
      <c r="AE133" s="13">
        <v>350634</v>
      </c>
      <c r="AF133" s="13">
        <v>350634</v>
      </c>
      <c r="AG133" s="13">
        <v>350634</v>
      </c>
      <c r="AH133" s="13">
        <v>350634</v>
      </c>
      <c r="AI133" s="13">
        <v>350634</v>
      </c>
      <c r="AJ133" s="13">
        <v>350634</v>
      </c>
      <c r="AK133" s="13">
        <v>350634</v>
      </c>
      <c r="AN133" s="46"/>
      <c r="AO133" s="46"/>
    </row>
    <row r="134" spans="1:41" x14ac:dyDescent="0.2">
      <c r="A134" s="63">
        <v>2002</v>
      </c>
      <c r="B134" s="63">
        <v>4</v>
      </c>
      <c r="C134" s="49">
        <v>305047</v>
      </c>
      <c r="D134" s="49">
        <v>305196</v>
      </c>
      <c r="E134" s="49">
        <v>305196</v>
      </c>
      <c r="F134" s="49">
        <v>305196</v>
      </c>
      <c r="G134" s="49">
        <v>305191</v>
      </c>
      <c r="H134" s="49">
        <v>305191</v>
      </c>
      <c r="I134" s="49">
        <v>305191</v>
      </c>
      <c r="J134" s="49">
        <v>305191</v>
      </c>
      <c r="K134" s="49">
        <v>305489</v>
      </c>
      <c r="L134" s="49">
        <v>305489</v>
      </c>
      <c r="M134" s="49">
        <v>305489</v>
      </c>
      <c r="N134" s="49">
        <v>305489</v>
      </c>
      <c r="O134" s="49">
        <v>305489</v>
      </c>
      <c r="P134" s="49">
        <v>305489</v>
      </c>
      <c r="Q134" s="49">
        <f t="shared" si="53"/>
        <v>305489</v>
      </c>
      <c r="R134" s="49">
        <f t="shared" si="53"/>
        <v>305489</v>
      </c>
      <c r="S134" s="46">
        <v>305489</v>
      </c>
      <c r="T134" s="50">
        <v>305489</v>
      </c>
      <c r="U134" s="46">
        <v>305489</v>
      </c>
      <c r="V134" s="46">
        <v>305489</v>
      </c>
      <c r="W134" s="13">
        <v>305489</v>
      </c>
      <c r="X134" s="13">
        <v>305489</v>
      </c>
      <c r="Y134" s="13">
        <v>305489</v>
      </c>
      <c r="Z134" s="13">
        <v>350315</v>
      </c>
      <c r="AA134" s="13">
        <v>350315</v>
      </c>
      <c r="AB134" s="13">
        <v>350315</v>
      </c>
      <c r="AC134" s="13">
        <v>350315</v>
      </c>
      <c r="AD134" s="13">
        <v>350315</v>
      </c>
      <c r="AE134" s="13">
        <v>350315</v>
      </c>
      <c r="AF134" s="13">
        <v>350315</v>
      </c>
      <c r="AG134" s="13">
        <v>350315</v>
      </c>
      <c r="AH134" s="13">
        <v>350315</v>
      </c>
      <c r="AI134" s="13">
        <v>350315</v>
      </c>
      <c r="AJ134" s="13">
        <v>350315</v>
      </c>
      <c r="AK134" s="13">
        <v>350315</v>
      </c>
      <c r="AN134" s="46"/>
      <c r="AO134" s="46"/>
    </row>
    <row r="135" spans="1:41" x14ac:dyDescent="0.2">
      <c r="A135" s="63">
        <v>2003</v>
      </c>
      <c r="B135" s="63">
        <v>1</v>
      </c>
      <c r="C135" s="49">
        <v>304469</v>
      </c>
      <c r="D135" s="49">
        <v>304342</v>
      </c>
      <c r="E135" s="49">
        <v>304342</v>
      </c>
      <c r="F135" s="49">
        <v>304342</v>
      </c>
      <c r="G135" s="49">
        <v>304423</v>
      </c>
      <c r="H135" s="49">
        <v>304423</v>
      </c>
      <c r="I135" s="49">
        <v>304423</v>
      </c>
      <c r="J135" s="49">
        <v>304423</v>
      </c>
      <c r="K135" s="49">
        <v>304705</v>
      </c>
      <c r="L135" s="49">
        <v>304705</v>
      </c>
      <c r="M135" s="49">
        <v>304705</v>
      </c>
      <c r="N135" s="49">
        <v>304705</v>
      </c>
      <c r="O135" s="49">
        <v>304705</v>
      </c>
      <c r="P135" s="49">
        <v>304804</v>
      </c>
      <c r="Q135" s="49">
        <f t="shared" si="53"/>
        <v>304804</v>
      </c>
      <c r="R135" s="49">
        <f t="shared" si="53"/>
        <v>304804</v>
      </c>
      <c r="S135" s="46">
        <v>304804</v>
      </c>
      <c r="T135" s="50">
        <v>304804</v>
      </c>
      <c r="U135" s="46">
        <v>304804</v>
      </c>
      <c r="V135" s="46">
        <v>304804</v>
      </c>
      <c r="W135" s="13">
        <v>304804</v>
      </c>
      <c r="X135" s="13">
        <v>304804</v>
      </c>
      <c r="Y135" s="13">
        <v>304804</v>
      </c>
      <c r="Z135" s="13">
        <v>349446</v>
      </c>
      <c r="AA135" s="13">
        <v>349446</v>
      </c>
      <c r="AB135" s="13">
        <v>349446</v>
      </c>
      <c r="AC135" s="13">
        <v>349446</v>
      </c>
      <c r="AD135" s="13">
        <v>349446</v>
      </c>
      <c r="AE135" s="13">
        <v>349446</v>
      </c>
      <c r="AF135" s="13">
        <v>349446</v>
      </c>
      <c r="AG135" s="13">
        <v>349446</v>
      </c>
      <c r="AH135" s="13">
        <v>349446</v>
      </c>
      <c r="AI135" s="13">
        <v>349446</v>
      </c>
      <c r="AJ135" s="13">
        <v>349446</v>
      </c>
      <c r="AK135" s="13">
        <v>349446</v>
      </c>
      <c r="AN135" s="46"/>
      <c r="AO135" s="46"/>
    </row>
    <row r="136" spans="1:41" x14ac:dyDescent="0.2">
      <c r="A136" s="63">
        <v>2003</v>
      </c>
      <c r="B136" s="63">
        <v>2</v>
      </c>
      <c r="C136" s="49">
        <v>303817</v>
      </c>
      <c r="D136" s="49">
        <v>303739</v>
      </c>
      <c r="E136" s="49">
        <v>303739</v>
      </c>
      <c r="F136" s="49">
        <v>303739</v>
      </c>
      <c r="G136" s="49">
        <v>303720</v>
      </c>
      <c r="H136" s="49">
        <v>303720</v>
      </c>
      <c r="I136" s="49">
        <v>303720</v>
      </c>
      <c r="J136" s="49">
        <v>303720</v>
      </c>
      <c r="K136" s="49">
        <v>303603</v>
      </c>
      <c r="L136" s="49">
        <v>303603</v>
      </c>
      <c r="M136" s="49">
        <v>303603</v>
      </c>
      <c r="N136" s="49">
        <v>303603</v>
      </c>
      <c r="O136" s="49">
        <v>303603</v>
      </c>
      <c r="P136" s="49">
        <v>303584</v>
      </c>
      <c r="Q136" s="49">
        <f t="shared" si="53"/>
        <v>303584</v>
      </c>
      <c r="R136" s="49">
        <f t="shared" si="53"/>
        <v>303584</v>
      </c>
      <c r="S136" s="46">
        <v>303584</v>
      </c>
      <c r="T136" s="50">
        <v>303584</v>
      </c>
      <c r="U136" s="46">
        <v>303584</v>
      </c>
      <c r="V136" s="46">
        <v>303584</v>
      </c>
      <c r="W136" s="13">
        <v>303584</v>
      </c>
      <c r="X136" s="13">
        <v>303584</v>
      </c>
      <c r="Y136" s="13">
        <v>303584</v>
      </c>
      <c r="Z136" s="13">
        <v>348743</v>
      </c>
      <c r="AA136" s="13">
        <v>348743</v>
      </c>
      <c r="AB136" s="13">
        <v>348743</v>
      </c>
      <c r="AC136" s="13">
        <v>348743</v>
      </c>
      <c r="AD136" s="13">
        <v>348743</v>
      </c>
      <c r="AE136" s="13">
        <v>348743</v>
      </c>
      <c r="AF136" s="13">
        <v>348743</v>
      </c>
      <c r="AG136" s="13">
        <v>348743</v>
      </c>
      <c r="AH136" s="13">
        <v>348743</v>
      </c>
      <c r="AI136" s="13">
        <v>348743</v>
      </c>
      <c r="AJ136" s="13">
        <v>348743</v>
      </c>
      <c r="AK136" s="13">
        <v>348743</v>
      </c>
      <c r="AN136" s="46"/>
      <c r="AO136" s="46"/>
    </row>
    <row r="137" spans="1:41" x14ac:dyDescent="0.2">
      <c r="A137" s="63">
        <v>2003</v>
      </c>
      <c r="B137" s="63">
        <v>3</v>
      </c>
      <c r="C137" s="49">
        <v>304639</v>
      </c>
      <c r="D137" s="49">
        <v>304561</v>
      </c>
      <c r="E137" s="49">
        <v>304561</v>
      </c>
      <c r="F137" s="49">
        <v>304561</v>
      </c>
      <c r="G137" s="49">
        <v>304500</v>
      </c>
      <c r="H137" s="49">
        <v>304500</v>
      </c>
      <c r="I137" s="49">
        <v>304500</v>
      </c>
      <c r="J137" s="49">
        <v>304500</v>
      </c>
      <c r="K137" s="49">
        <v>304656</v>
      </c>
      <c r="L137" s="49">
        <v>304656</v>
      </c>
      <c r="M137" s="49">
        <v>304656</v>
      </c>
      <c r="N137" s="49">
        <v>304656</v>
      </c>
      <c r="O137" s="49">
        <v>304656</v>
      </c>
      <c r="P137" s="49">
        <v>304609</v>
      </c>
      <c r="Q137" s="49">
        <f t="shared" si="53"/>
        <v>304609</v>
      </c>
      <c r="R137" s="49">
        <f t="shared" si="53"/>
        <v>304609</v>
      </c>
      <c r="S137" s="46">
        <v>304609</v>
      </c>
      <c r="T137" s="50">
        <v>304609</v>
      </c>
      <c r="U137" s="46">
        <v>304609</v>
      </c>
      <c r="V137" s="46">
        <v>304609</v>
      </c>
      <c r="W137" s="13">
        <v>304609</v>
      </c>
      <c r="X137" s="13">
        <v>304609</v>
      </c>
      <c r="Y137" s="13">
        <v>304609</v>
      </c>
      <c r="Z137" s="13">
        <v>349626</v>
      </c>
      <c r="AA137" s="13">
        <v>349626</v>
      </c>
      <c r="AB137" s="13">
        <v>349626</v>
      </c>
      <c r="AC137" s="13">
        <v>349626</v>
      </c>
      <c r="AD137" s="13">
        <v>349626</v>
      </c>
      <c r="AE137" s="13">
        <v>349626</v>
      </c>
      <c r="AF137" s="13">
        <v>349626</v>
      </c>
      <c r="AG137" s="13">
        <v>349626</v>
      </c>
      <c r="AH137" s="13">
        <v>349626</v>
      </c>
      <c r="AI137" s="13">
        <v>349626</v>
      </c>
      <c r="AJ137" s="13">
        <v>349626</v>
      </c>
      <c r="AK137" s="13">
        <v>349626</v>
      </c>
      <c r="AN137" s="46"/>
      <c r="AO137" s="46"/>
    </row>
    <row r="138" spans="1:41" x14ac:dyDescent="0.2">
      <c r="A138" s="63">
        <v>2003</v>
      </c>
      <c r="B138" s="63">
        <v>4</v>
      </c>
      <c r="C138" s="49">
        <v>304999</v>
      </c>
      <c r="D138" s="49">
        <v>305283</v>
      </c>
      <c r="E138" s="49">
        <v>305283</v>
      </c>
      <c r="F138" s="49">
        <v>305283</v>
      </c>
      <c r="G138" s="49">
        <v>305189</v>
      </c>
      <c r="H138" s="49">
        <v>305189</v>
      </c>
      <c r="I138" s="49">
        <v>305189</v>
      </c>
      <c r="J138" s="49">
        <v>305189</v>
      </c>
      <c r="K138" s="49">
        <v>305793</v>
      </c>
      <c r="L138" s="49">
        <v>305793</v>
      </c>
      <c r="M138" s="49">
        <v>305793</v>
      </c>
      <c r="N138" s="49">
        <v>305793</v>
      </c>
      <c r="O138" s="49">
        <v>305793</v>
      </c>
      <c r="P138" s="49">
        <v>305808</v>
      </c>
      <c r="Q138" s="49">
        <f>P138</f>
        <v>305808</v>
      </c>
      <c r="R138" s="49">
        <f>Q138</f>
        <v>305808</v>
      </c>
      <c r="S138" s="46">
        <v>305808</v>
      </c>
      <c r="T138" s="50">
        <v>305808</v>
      </c>
      <c r="U138" s="46">
        <v>305808</v>
      </c>
      <c r="V138" s="46">
        <v>305808</v>
      </c>
      <c r="W138" s="13">
        <v>305808</v>
      </c>
      <c r="X138" s="13">
        <v>305808</v>
      </c>
      <c r="Y138" s="13">
        <v>305808</v>
      </c>
      <c r="Z138" s="13">
        <v>351999</v>
      </c>
      <c r="AA138" s="13">
        <v>351999</v>
      </c>
      <c r="AB138" s="13">
        <v>351999</v>
      </c>
      <c r="AC138" s="13">
        <v>351999</v>
      </c>
      <c r="AD138" s="13">
        <v>351999</v>
      </c>
      <c r="AE138" s="13">
        <v>351999</v>
      </c>
      <c r="AF138" s="13">
        <v>351999</v>
      </c>
      <c r="AG138" s="13">
        <v>351999</v>
      </c>
      <c r="AH138" s="13">
        <v>351999</v>
      </c>
      <c r="AI138" s="13">
        <v>351999</v>
      </c>
      <c r="AJ138" s="13">
        <v>351999</v>
      </c>
      <c r="AK138" s="13">
        <v>351999</v>
      </c>
      <c r="AN138" s="46"/>
      <c r="AO138" s="46"/>
    </row>
    <row r="139" spans="1:41" x14ac:dyDescent="0.2">
      <c r="A139" s="63">
        <v>2004</v>
      </c>
      <c r="B139" s="63">
        <v>1</v>
      </c>
      <c r="C139" s="49">
        <v>306494</v>
      </c>
      <c r="D139" s="49">
        <v>306404</v>
      </c>
      <c r="E139" s="49">
        <v>306400</v>
      </c>
      <c r="F139" s="49">
        <v>306429</v>
      </c>
      <c r="G139" s="49">
        <v>306814</v>
      </c>
      <c r="H139" s="49">
        <v>306814</v>
      </c>
      <c r="I139" s="49">
        <v>306814</v>
      </c>
      <c r="J139" s="49">
        <v>306814</v>
      </c>
      <c r="K139" s="49">
        <v>307481</v>
      </c>
      <c r="L139" s="49">
        <v>307481</v>
      </c>
      <c r="M139" s="49">
        <v>307481</v>
      </c>
      <c r="N139" s="49">
        <v>307481</v>
      </c>
      <c r="O139" s="49">
        <v>307488</v>
      </c>
      <c r="P139" s="49">
        <v>307583</v>
      </c>
      <c r="Q139" s="49">
        <v>307583</v>
      </c>
      <c r="R139" s="49">
        <v>307583</v>
      </c>
      <c r="S139" s="46">
        <v>307583</v>
      </c>
      <c r="T139" s="50">
        <v>307583</v>
      </c>
      <c r="U139" s="46">
        <v>307583</v>
      </c>
      <c r="V139" s="46">
        <v>307583</v>
      </c>
      <c r="W139" s="13">
        <v>307583</v>
      </c>
      <c r="X139" s="13">
        <v>307583</v>
      </c>
      <c r="Y139" s="13">
        <v>307583</v>
      </c>
      <c r="Z139" s="13">
        <v>354290</v>
      </c>
      <c r="AA139" s="13">
        <v>354290</v>
      </c>
      <c r="AB139" s="13">
        <v>354290</v>
      </c>
      <c r="AC139" s="13">
        <v>354290</v>
      </c>
      <c r="AD139" s="13">
        <v>354290</v>
      </c>
      <c r="AE139" s="13">
        <v>354290</v>
      </c>
      <c r="AF139" s="13">
        <v>354290</v>
      </c>
      <c r="AG139" s="13">
        <v>354290</v>
      </c>
      <c r="AH139" s="13">
        <v>354290</v>
      </c>
      <c r="AI139" s="13">
        <v>354290</v>
      </c>
      <c r="AJ139" s="13">
        <v>354290</v>
      </c>
      <c r="AK139" s="13">
        <v>354290</v>
      </c>
      <c r="AN139" s="46"/>
      <c r="AO139" s="46"/>
    </row>
    <row r="140" spans="1:41" x14ac:dyDescent="0.2">
      <c r="A140" s="63">
        <v>2004</v>
      </c>
      <c r="B140" s="63">
        <v>2</v>
      </c>
      <c r="C140" s="49">
        <v>307264</v>
      </c>
      <c r="D140" s="49">
        <v>307358</v>
      </c>
      <c r="E140" s="49">
        <v>307448</v>
      </c>
      <c r="F140" s="49">
        <v>307379</v>
      </c>
      <c r="G140" s="49">
        <v>307818</v>
      </c>
      <c r="H140" s="49">
        <v>307818</v>
      </c>
      <c r="I140" s="49">
        <v>307818</v>
      </c>
      <c r="J140" s="49">
        <v>307818</v>
      </c>
      <c r="K140" s="49">
        <v>308756</v>
      </c>
      <c r="L140" s="49">
        <v>308756</v>
      </c>
      <c r="M140" s="49">
        <v>308756</v>
      </c>
      <c r="N140" s="49">
        <v>308756</v>
      </c>
      <c r="O140" s="49">
        <v>308774</v>
      </c>
      <c r="P140" s="49">
        <v>308686</v>
      </c>
      <c r="Q140" s="49">
        <v>308686</v>
      </c>
      <c r="R140" s="49">
        <v>308686</v>
      </c>
      <c r="S140" s="46">
        <v>308686</v>
      </c>
      <c r="T140" s="50">
        <v>308686</v>
      </c>
      <c r="U140" s="46">
        <v>308686</v>
      </c>
      <c r="V140" s="46">
        <v>308686</v>
      </c>
      <c r="W140" s="13">
        <v>308686</v>
      </c>
      <c r="X140" s="13">
        <v>308686</v>
      </c>
      <c r="Y140" s="13">
        <v>308686</v>
      </c>
      <c r="Z140" s="13">
        <v>355168</v>
      </c>
      <c r="AA140" s="13">
        <v>355168</v>
      </c>
      <c r="AB140" s="13">
        <v>355168</v>
      </c>
      <c r="AC140" s="13">
        <v>355168</v>
      </c>
      <c r="AD140" s="13">
        <v>355168</v>
      </c>
      <c r="AE140" s="13">
        <v>355168</v>
      </c>
      <c r="AF140" s="13">
        <v>355168</v>
      </c>
      <c r="AG140" s="13">
        <v>355168</v>
      </c>
      <c r="AH140" s="13">
        <v>355168</v>
      </c>
      <c r="AI140" s="13">
        <v>355168</v>
      </c>
      <c r="AJ140" s="13">
        <v>355168</v>
      </c>
      <c r="AK140" s="13">
        <v>355168</v>
      </c>
      <c r="AN140" s="46"/>
      <c r="AO140" s="46"/>
    </row>
    <row r="141" spans="1:41" x14ac:dyDescent="0.2">
      <c r="A141" s="63">
        <v>2004</v>
      </c>
      <c r="B141" s="63">
        <v>3</v>
      </c>
      <c r="C141" s="49">
        <v>308077</v>
      </c>
      <c r="D141" s="49">
        <v>308076</v>
      </c>
      <c r="E141" s="49">
        <v>308082</v>
      </c>
      <c r="F141" s="49">
        <v>308085</v>
      </c>
      <c r="G141" s="49">
        <v>308518</v>
      </c>
      <c r="H141" s="49">
        <v>308518</v>
      </c>
      <c r="I141" s="49">
        <v>308518</v>
      </c>
      <c r="J141" s="49">
        <v>308518</v>
      </c>
      <c r="K141" s="49">
        <v>309927</v>
      </c>
      <c r="L141" s="49">
        <v>309927</v>
      </c>
      <c r="M141" s="49">
        <v>309927</v>
      </c>
      <c r="N141" s="49">
        <v>309927</v>
      </c>
      <c r="O141" s="49">
        <v>309882</v>
      </c>
      <c r="P141" s="49">
        <v>309774</v>
      </c>
      <c r="Q141" s="49">
        <v>309774</v>
      </c>
      <c r="R141" s="49">
        <v>309774</v>
      </c>
      <c r="S141" s="46">
        <v>309774</v>
      </c>
      <c r="T141" s="50">
        <v>309774</v>
      </c>
      <c r="U141" s="46">
        <v>309774</v>
      </c>
      <c r="V141" s="46">
        <v>309774</v>
      </c>
      <c r="W141" s="13">
        <v>309774</v>
      </c>
      <c r="X141" s="13">
        <v>309774</v>
      </c>
      <c r="Y141" s="13">
        <v>309774</v>
      </c>
      <c r="Z141" s="13">
        <v>356388</v>
      </c>
      <c r="AA141" s="13">
        <v>356388</v>
      </c>
      <c r="AB141" s="13">
        <v>356388</v>
      </c>
      <c r="AC141" s="13">
        <v>356388</v>
      </c>
      <c r="AD141" s="13">
        <v>356388</v>
      </c>
      <c r="AE141" s="13">
        <v>356388</v>
      </c>
      <c r="AF141" s="13">
        <v>356388</v>
      </c>
      <c r="AG141" s="13">
        <v>356388</v>
      </c>
      <c r="AH141" s="13">
        <v>356388</v>
      </c>
      <c r="AI141" s="13">
        <v>356388</v>
      </c>
      <c r="AJ141" s="13">
        <v>356388</v>
      </c>
      <c r="AK141" s="13">
        <v>356388</v>
      </c>
      <c r="AN141" s="46"/>
      <c r="AO141" s="46"/>
    </row>
    <row r="142" spans="1:41" x14ac:dyDescent="0.2">
      <c r="A142" s="63">
        <v>2004</v>
      </c>
      <c r="B142" s="63">
        <v>4</v>
      </c>
      <c r="C142" s="49">
        <v>306867</v>
      </c>
      <c r="D142" s="49">
        <v>306864</v>
      </c>
      <c r="E142" s="49">
        <v>306771</v>
      </c>
      <c r="F142" s="49">
        <v>306810</v>
      </c>
      <c r="G142" s="49">
        <v>307104</v>
      </c>
      <c r="H142" s="49">
        <v>307104</v>
      </c>
      <c r="I142" s="49">
        <v>307104</v>
      </c>
      <c r="J142" s="49">
        <v>307104</v>
      </c>
      <c r="K142" s="49">
        <v>309241</v>
      </c>
      <c r="L142" s="49">
        <v>309241</v>
      </c>
      <c r="M142" s="49">
        <v>309241</v>
      </c>
      <c r="N142" s="49">
        <v>309241</v>
      </c>
      <c r="O142" s="49">
        <v>309163</v>
      </c>
      <c r="P142" s="49">
        <v>309263</v>
      </c>
      <c r="Q142" s="49">
        <v>309263</v>
      </c>
      <c r="R142" s="49">
        <v>309263</v>
      </c>
      <c r="S142" s="46">
        <v>309263</v>
      </c>
      <c r="T142" s="50">
        <v>309263</v>
      </c>
      <c r="U142" s="46">
        <v>309263</v>
      </c>
      <c r="V142" s="46">
        <v>309263</v>
      </c>
      <c r="W142" s="13">
        <v>309263</v>
      </c>
      <c r="X142" s="13">
        <v>309263</v>
      </c>
      <c r="Y142" s="13">
        <v>309263</v>
      </c>
      <c r="Z142" s="13">
        <v>355765</v>
      </c>
      <c r="AA142" s="13">
        <v>355765</v>
      </c>
      <c r="AB142" s="13">
        <v>355765</v>
      </c>
      <c r="AC142" s="13">
        <v>355765</v>
      </c>
      <c r="AD142" s="13">
        <v>355765</v>
      </c>
      <c r="AE142" s="13">
        <v>355765</v>
      </c>
      <c r="AF142" s="13">
        <v>355765</v>
      </c>
      <c r="AG142" s="13">
        <v>355765</v>
      </c>
      <c r="AH142" s="13">
        <v>355765</v>
      </c>
      <c r="AI142" s="13">
        <v>355765</v>
      </c>
      <c r="AJ142" s="13">
        <v>355765</v>
      </c>
      <c r="AK142" s="13">
        <v>355765</v>
      </c>
      <c r="AN142" s="46"/>
      <c r="AO142" s="46"/>
    </row>
    <row r="143" spans="1:41" x14ac:dyDescent="0.2">
      <c r="A143" s="63">
        <v>2005</v>
      </c>
      <c r="B143" s="63">
        <v>1</v>
      </c>
      <c r="C143" s="49">
        <v>305560</v>
      </c>
      <c r="D143" s="49">
        <v>305628</v>
      </c>
      <c r="E143" s="49">
        <v>305562</v>
      </c>
      <c r="F143" s="49">
        <v>305583</v>
      </c>
      <c r="G143" s="49">
        <v>306292</v>
      </c>
      <c r="H143" s="49">
        <v>306288</v>
      </c>
      <c r="I143" s="49">
        <v>306323</v>
      </c>
      <c r="J143" s="49">
        <v>306306</v>
      </c>
      <c r="K143" s="49">
        <v>308834</v>
      </c>
      <c r="L143" s="49">
        <v>308834</v>
      </c>
      <c r="M143" s="49">
        <v>308834</v>
      </c>
      <c r="N143" s="49">
        <v>308834</v>
      </c>
      <c r="O143" s="49">
        <v>308870</v>
      </c>
      <c r="P143" s="49">
        <v>309084</v>
      </c>
      <c r="Q143" s="49">
        <v>309084</v>
      </c>
      <c r="R143" s="49">
        <v>309084</v>
      </c>
      <c r="S143" s="46">
        <v>309086</v>
      </c>
      <c r="T143" s="50">
        <v>309259</v>
      </c>
      <c r="U143" s="46">
        <v>309259</v>
      </c>
      <c r="V143" s="46">
        <v>309259</v>
      </c>
      <c r="W143" s="13">
        <v>309259</v>
      </c>
      <c r="X143" s="13">
        <v>309259</v>
      </c>
      <c r="Y143" s="13">
        <v>309259</v>
      </c>
      <c r="Z143" s="13">
        <v>356239</v>
      </c>
      <c r="AA143" s="13">
        <v>356239</v>
      </c>
      <c r="AB143" s="13">
        <v>356239</v>
      </c>
      <c r="AC143" s="13">
        <v>356239</v>
      </c>
      <c r="AD143" s="13">
        <v>356239</v>
      </c>
      <c r="AE143" s="13">
        <v>356239</v>
      </c>
      <c r="AF143" s="13">
        <v>356239</v>
      </c>
      <c r="AG143" s="13">
        <v>356239</v>
      </c>
      <c r="AH143" s="13">
        <v>356239</v>
      </c>
      <c r="AI143" s="13">
        <v>356239</v>
      </c>
      <c r="AJ143" s="13">
        <v>356239</v>
      </c>
      <c r="AK143" s="13">
        <v>356239</v>
      </c>
      <c r="AN143" s="46"/>
      <c r="AO143" s="46"/>
    </row>
    <row r="144" spans="1:41" x14ac:dyDescent="0.2">
      <c r="A144" s="63">
        <v>2005</v>
      </c>
      <c r="B144" s="63">
        <v>2</v>
      </c>
      <c r="C144" s="49">
        <v>307517</v>
      </c>
      <c r="D144" s="49">
        <v>307537</v>
      </c>
      <c r="E144" s="49">
        <v>307547</v>
      </c>
      <c r="F144" s="49">
        <v>307428</v>
      </c>
      <c r="G144" s="49">
        <v>308267</v>
      </c>
      <c r="H144" s="49">
        <v>308276</v>
      </c>
      <c r="I144" s="49">
        <v>308252</v>
      </c>
      <c r="J144" s="49">
        <v>308264</v>
      </c>
      <c r="K144" s="49">
        <v>310754</v>
      </c>
      <c r="L144" s="49">
        <v>310754</v>
      </c>
      <c r="M144" s="49">
        <v>310754</v>
      </c>
      <c r="N144" s="49">
        <v>310754</v>
      </c>
      <c r="O144" s="49">
        <v>310920</v>
      </c>
      <c r="P144" s="49">
        <v>310894</v>
      </c>
      <c r="Q144" s="49">
        <v>310894</v>
      </c>
      <c r="R144" s="49">
        <v>310894</v>
      </c>
      <c r="S144" s="46">
        <v>310916</v>
      </c>
      <c r="T144" s="50">
        <v>311085</v>
      </c>
      <c r="U144" s="46">
        <v>311085</v>
      </c>
      <c r="V144" s="46">
        <v>311085</v>
      </c>
      <c r="W144" s="13">
        <v>311085</v>
      </c>
      <c r="X144" s="13">
        <v>311085</v>
      </c>
      <c r="Y144" s="13">
        <v>311085</v>
      </c>
      <c r="Z144" s="13">
        <v>359018</v>
      </c>
      <c r="AA144" s="13">
        <v>359018</v>
      </c>
      <c r="AB144" s="13">
        <v>359018</v>
      </c>
      <c r="AC144" s="13">
        <v>359018</v>
      </c>
      <c r="AD144" s="13">
        <v>359018</v>
      </c>
      <c r="AE144" s="13">
        <v>359018</v>
      </c>
      <c r="AF144" s="13">
        <v>359018</v>
      </c>
      <c r="AG144" s="13">
        <v>359018</v>
      </c>
      <c r="AH144" s="13">
        <v>359018</v>
      </c>
      <c r="AI144" s="13">
        <v>359018</v>
      </c>
      <c r="AJ144" s="13">
        <v>359018</v>
      </c>
      <c r="AK144" s="13">
        <v>359018</v>
      </c>
      <c r="AN144" s="46"/>
      <c r="AO144" s="46"/>
    </row>
    <row r="145" spans="1:41" x14ac:dyDescent="0.2">
      <c r="A145" s="63">
        <v>2005</v>
      </c>
      <c r="B145" s="63">
        <v>3</v>
      </c>
      <c r="C145" s="49">
        <v>308449</v>
      </c>
      <c r="D145" s="49">
        <v>308431</v>
      </c>
      <c r="E145" s="49">
        <v>308486</v>
      </c>
      <c r="F145" s="49">
        <v>308515</v>
      </c>
      <c r="G145" s="49">
        <v>309407</v>
      </c>
      <c r="H145" s="49">
        <v>309388</v>
      </c>
      <c r="I145" s="49">
        <v>309425</v>
      </c>
      <c r="J145" s="49">
        <v>309433</v>
      </c>
      <c r="K145" s="49">
        <v>311952</v>
      </c>
      <c r="L145" s="49">
        <v>311952</v>
      </c>
      <c r="M145" s="49">
        <v>311952</v>
      </c>
      <c r="N145" s="49">
        <v>311952</v>
      </c>
      <c r="O145" s="49">
        <v>312402</v>
      </c>
      <c r="P145" s="49">
        <v>312219</v>
      </c>
      <c r="Q145" s="49">
        <v>312219</v>
      </c>
      <c r="R145" s="49">
        <v>312219</v>
      </c>
      <c r="S145" s="46">
        <v>312189</v>
      </c>
      <c r="T145" s="50">
        <v>311897</v>
      </c>
      <c r="U145" s="46">
        <v>311897</v>
      </c>
      <c r="V145" s="46">
        <v>311897</v>
      </c>
      <c r="W145" s="13">
        <v>311897</v>
      </c>
      <c r="X145" s="13">
        <v>311897</v>
      </c>
      <c r="Y145" s="13">
        <v>311897</v>
      </c>
      <c r="Z145" s="13">
        <v>360323</v>
      </c>
      <c r="AA145" s="13">
        <v>360323</v>
      </c>
      <c r="AB145" s="13">
        <v>360323</v>
      </c>
      <c r="AC145" s="13">
        <v>360323</v>
      </c>
      <c r="AD145" s="13">
        <v>360323</v>
      </c>
      <c r="AE145" s="13">
        <v>360323</v>
      </c>
      <c r="AF145" s="13">
        <v>360323</v>
      </c>
      <c r="AG145" s="13">
        <v>360323</v>
      </c>
      <c r="AH145" s="13">
        <v>360323</v>
      </c>
      <c r="AI145" s="13">
        <v>360323</v>
      </c>
      <c r="AJ145" s="13">
        <v>360323</v>
      </c>
      <c r="AK145" s="13">
        <v>360323</v>
      </c>
      <c r="AN145" s="46"/>
      <c r="AO145" s="46"/>
    </row>
    <row r="146" spans="1:41" x14ac:dyDescent="0.2">
      <c r="A146" s="63">
        <v>2005</v>
      </c>
      <c r="B146" s="63">
        <v>4</v>
      </c>
      <c r="C146" s="49">
        <v>308492</v>
      </c>
      <c r="D146" s="49">
        <v>308422</v>
      </c>
      <c r="E146" s="49">
        <v>308422</v>
      </c>
      <c r="F146" s="49">
        <v>308491</v>
      </c>
      <c r="G146" s="49">
        <v>309156</v>
      </c>
      <c r="H146" s="49">
        <v>309169</v>
      </c>
      <c r="I146" s="49">
        <v>309122</v>
      </c>
      <c r="J146" s="49">
        <v>309119</v>
      </c>
      <c r="K146" s="49">
        <v>312307</v>
      </c>
      <c r="L146" s="49">
        <v>312307</v>
      </c>
      <c r="M146" s="49">
        <v>312307</v>
      </c>
      <c r="N146" s="49">
        <v>312307</v>
      </c>
      <c r="O146" s="49">
        <v>312944</v>
      </c>
      <c r="P146" s="49">
        <v>312938</v>
      </c>
      <c r="Q146" s="49">
        <v>312938</v>
      </c>
      <c r="R146" s="49">
        <v>312938</v>
      </c>
      <c r="S146" s="46">
        <v>312994</v>
      </c>
      <c r="T146" s="50">
        <v>312943</v>
      </c>
      <c r="U146" s="46">
        <v>312943</v>
      </c>
      <c r="V146" s="46">
        <v>312943</v>
      </c>
      <c r="W146" s="13">
        <v>312943</v>
      </c>
      <c r="X146" s="13">
        <v>312943</v>
      </c>
      <c r="Y146" s="13">
        <v>312943</v>
      </c>
      <c r="Z146" s="13">
        <v>361504</v>
      </c>
      <c r="AA146" s="13">
        <v>361504</v>
      </c>
      <c r="AB146" s="13">
        <v>361504</v>
      </c>
      <c r="AC146" s="13">
        <v>361504</v>
      </c>
      <c r="AD146" s="13">
        <v>361504</v>
      </c>
      <c r="AE146" s="13">
        <v>361504</v>
      </c>
      <c r="AF146" s="13">
        <v>361504</v>
      </c>
      <c r="AG146" s="13">
        <v>361504</v>
      </c>
      <c r="AH146" s="13">
        <v>361504</v>
      </c>
      <c r="AI146" s="13">
        <v>361504</v>
      </c>
      <c r="AJ146" s="13">
        <v>361504</v>
      </c>
      <c r="AK146" s="13">
        <v>361504</v>
      </c>
      <c r="AN146" s="46"/>
      <c r="AO146" s="46"/>
    </row>
    <row r="147" spans="1:41" x14ac:dyDescent="0.2">
      <c r="A147" s="63">
        <v>2006</v>
      </c>
      <c r="B147" s="63">
        <v>1</v>
      </c>
      <c r="C147" s="49"/>
      <c r="D147" s="49">
        <v>310224</v>
      </c>
      <c r="E147" s="49">
        <v>310502</v>
      </c>
      <c r="F147" s="49">
        <v>310870</v>
      </c>
      <c r="G147" s="49">
        <v>311499</v>
      </c>
      <c r="H147" s="49">
        <v>311528</v>
      </c>
      <c r="I147" s="49">
        <v>311551</v>
      </c>
      <c r="J147" s="49">
        <v>311487</v>
      </c>
      <c r="K147" s="49">
        <v>314611</v>
      </c>
      <c r="L147" s="49">
        <v>314576</v>
      </c>
      <c r="M147" s="49">
        <v>314492</v>
      </c>
      <c r="N147" s="49">
        <v>314455</v>
      </c>
      <c r="O147" s="49">
        <v>315143</v>
      </c>
      <c r="P147" s="49">
        <v>314803</v>
      </c>
      <c r="Q147" s="49">
        <v>314803</v>
      </c>
      <c r="R147" s="49">
        <v>314803</v>
      </c>
      <c r="S147" s="46">
        <v>314784</v>
      </c>
      <c r="T147" s="50">
        <v>314960</v>
      </c>
      <c r="U147" s="46">
        <v>314960</v>
      </c>
      <c r="V147" s="46">
        <v>314960</v>
      </c>
      <c r="W147" s="13">
        <v>314952</v>
      </c>
      <c r="X147" s="13">
        <v>314952</v>
      </c>
      <c r="Y147" s="13">
        <v>314952</v>
      </c>
      <c r="Z147" s="13">
        <v>363593</v>
      </c>
      <c r="AA147" s="13">
        <v>363593</v>
      </c>
      <c r="AB147" s="13">
        <v>363593</v>
      </c>
      <c r="AC147" s="13">
        <v>363593</v>
      </c>
      <c r="AD147" s="13">
        <v>363593</v>
      </c>
      <c r="AE147" s="13">
        <v>363593</v>
      </c>
      <c r="AF147" s="13">
        <v>363593</v>
      </c>
      <c r="AG147" s="13">
        <v>363593</v>
      </c>
      <c r="AH147" s="13">
        <v>363593</v>
      </c>
      <c r="AI147" s="13">
        <v>363593</v>
      </c>
      <c r="AJ147" s="13">
        <v>363593</v>
      </c>
      <c r="AK147" s="13">
        <v>363593</v>
      </c>
      <c r="AN147" s="46"/>
      <c r="AO147" s="46"/>
    </row>
    <row r="148" spans="1:41" x14ac:dyDescent="0.2">
      <c r="A148" s="63">
        <v>2006</v>
      </c>
      <c r="B148" s="63">
        <v>2</v>
      </c>
      <c r="C148" s="49"/>
      <c r="D148" s="49"/>
      <c r="E148" s="49">
        <v>312167</v>
      </c>
      <c r="F148" s="49">
        <v>312728</v>
      </c>
      <c r="G148" s="49">
        <v>313359</v>
      </c>
      <c r="H148" s="49">
        <v>313352</v>
      </c>
      <c r="I148" s="49">
        <v>313376</v>
      </c>
      <c r="J148" s="49">
        <v>313377</v>
      </c>
      <c r="K148" s="49">
        <v>315884</v>
      </c>
      <c r="L148" s="49">
        <v>315971</v>
      </c>
      <c r="M148" s="49">
        <v>316038</v>
      </c>
      <c r="N148" s="49">
        <v>315987</v>
      </c>
      <c r="O148" s="49">
        <v>316658</v>
      </c>
      <c r="P148" s="49">
        <v>316805</v>
      </c>
      <c r="Q148" s="49">
        <v>316805</v>
      </c>
      <c r="R148" s="49">
        <v>316805</v>
      </c>
      <c r="S148" s="46">
        <v>316787</v>
      </c>
      <c r="T148" s="50">
        <v>316762</v>
      </c>
      <c r="U148" s="46">
        <v>316762</v>
      </c>
      <c r="V148" s="46">
        <v>316762</v>
      </c>
      <c r="W148" s="13">
        <v>316858</v>
      </c>
      <c r="X148" s="13">
        <v>316858</v>
      </c>
      <c r="Y148" s="13">
        <v>316858</v>
      </c>
      <c r="Z148" s="13">
        <v>365825</v>
      </c>
      <c r="AA148" s="13">
        <v>365825</v>
      </c>
      <c r="AB148" s="13">
        <v>365825</v>
      </c>
      <c r="AC148" s="13">
        <v>365825</v>
      </c>
      <c r="AD148" s="13">
        <v>365825</v>
      </c>
      <c r="AE148" s="13">
        <v>365825</v>
      </c>
      <c r="AF148" s="13">
        <v>365825</v>
      </c>
      <c r="AG148" s="13">
        <v>365825</v>
      </c>
      <c r="AH148" s="13">
        <v>365825</v>
      </c>
      <c r="AI148" s="13">
        <v>365825</v>
      </c>
      <c r="AJ148" s="13">
        <v>365825</v>
      </c>
      <c r="AK148" s="13">
        <v>365825</v>
      </c>
      <c r="AN148" s="46"/>
      <c r="AO148" s="46"/>
    </row>
    <row r="149" spans="1:41" x14ac:dyDescent="0.2">
      <c r="A149" s="63">
        <v>2006</v>
      </c>
      <c r="B149" s="63">
        <v>3</v>
      </c>
      <c r="C149" s="49"/>
      <c r="D149" s="49"/>
      <c r="E149" s="49"/>
      <c r="F149" s="49">
        <v>313614</v>
      </c>
      <c r="G149" s="49">
        <v>314283</v>
      </c>
      <c r="H149" s="49">
        <v>314279</v>
      </c>
      <c r="I149" s="49">
        <v>314277</v>
      </c>
      <c r="J149" s="49">
        <v>314366</v>
      </c>
      <c r="K149" s="49">
        <v>316902</v>
      </c>
      <c r="L149" s="49">
        <v>316815</v>
      </c>
      <c r="M149" s="49">
        <v>316939</v>
      </c>
      <c r="N149" s="49">
        <v>316952</v>
      </c>
      <c r="O149" s="49">
        <v>318049</v>
      </c>
      <c r="P149" s="49">
        <v>318338</v>
      </c>
      <c r="Q149" s="49">
        <v>318338</v>
      </c>
      <c r="R149" s="49">
        <v>318338</v>
      </c>
      <c r="S149" s="46">
        <v>318416</v>
      </c>
      <c r="T149" s="50">
        <v>318141</v>
      </c>
      <c r="U149" s="46">
        <v>318141</v>
      </c>
      <c r="V149" s="46">
        <v>318141</v>
      </c>
      <c r="W149" s="13">
        <v>318148</v>
      </c>
      <c r="X149" s="13">
        <v>318148</v>
      </c>
      <c r="Y149" s="13">
        <v>318148</v>
      </c>
      <c r="Z149" s="13">
        <v>368027</v>
      </c>
      <c r="AA149" s="13">
        <v>368027</v>
      </c>
      <c r="AB149" s="13">
        <v>368027</v>
      </c>
      <c r="AC149" s="13">
        <v>368027</v>
      </c>
      <c r="AD149" s="13">
        <v>368027</v>
      </c>
      <c r="AE149" s="13">
        <v>368027</v>
      </c>
      <c r="AF149" s="13">
        <v>368027</v>
      </c>
      <c r="AG149" s="13">
        <v>368027</v>
      </c>
      <c r="AH149" s="13">
        <v>368027</v>
      </c>
      <c r="AI149" s="13">
        <v>368027</v>
      </c>
      <c r="AJ149" s="13">
        <v>368027</v>
      </c>
      <c r="AK149" s="13">
        <v>368027</v>
      </c>
      <c r="AN149" s="46"/>
      <c r="AO149" s="46"/>
    </row>
    <row r="150" spans="1:41" x14ac:dyDescent="0.2">
      <c r="A150" s="63">
        <v>2006</v>
      </c>
      <c r="B150" s="63">
        <v>4</v>
      </c>
      <c r="C150" s="49"/>
      <c r="D150" s="49"/>
      <c r="E150" s="49"/>
      <c r="F150" s="49"/>
      <c r="G150" s="49">
        <v>317892</v>
      </c>
      <c r="H150" s="49">
        <v>317873</v>
      </c>
      <c r="I150" s="49">
        <v>317830</v>
      </c>
      <c r="J150" s="49">
        <v>317803</v>
      </c>
      <c r="K150" s="49">
        <v>320105</v>
      </c>
      <c r="L150" s="49">
        <v>320141</v>
      </c>
      <c r="M150" s="49">
        <v>320033</v>
      </c>
      <c r="N150" s="49">
        <v>320108</v>
      </c>
      <c r="O150" s="49">
        <v>321424</v>
      </c>
      <c r="P150" s="49">
        <v>321329</v>
      </c>
      <c r="Q150" s="49">
        <v>321329</v>
      </c>
      <c r="R150" s="49">
        <v>321329</v>
      </c>
      <c r="S150" s="46">
        <v>321406</v>
      </c>
      <c r="T150" s="50">
        <v>321531</v>
      </c>
      <c r="U150" s="46">
        <v>321531</v>
      </c>
      <c r="V150" s="46">
        <v>321531</v>
      </c>
      <c r="W150" s="13">
        <v>321478</v>
      </c>
      <c r="X150" s="13">
        <v>321478</v>
      </c>
      <c r="Y150" s="13">
        <v>321478</v>
      </c>
      <c r="Z150" s="13">
        <v>372251</v>
      </c>
      <c r="AA150" s="13">
        <v>372251</v>
      </c>
      <c r="AB150" s="13">
        <v>372251</v>
      </c>
      <c r="AC150" s="13">
        <v>372251</v>
      </c>
      <c r="AD150" s="13">
        <v>372251</v>
      </c>
      <c r="AE150" s="13">
        <v>372251</v>
      </c>
      <c r="AF150" s="13">
        <v>372251</v>
      </c>
      <c r="AG150" s="13">
        <v>372251</v>
      </c>
      <c r="AH150" s="13">
        <v>372251</v>
      </c>
      <c r="AI150" s="13">
        <v>372251</v>
      </c>
      <c r="AJ150" s="13">
        <v>372251</v>
      </c>
      <c r="AK150" s="13">
        <v>372251</v>
      </c>
      <c r="AN150" s="46"/>
      <c r="AO150" s="46"/>
    </row>
    <row r="151" spans="1:41" x14ac:dyDescent="0.2">
      <c r="A151" s="63">
        <v>2007</v>
      </c>
      <c r="B151" s="63">
        <v>1</v>
      </c>
      <c r="C151" s="49"/>
      <c r="D151" s="49"/>
      <c r="E151" s="49"/>
      <c r="F151" s="49"/>
      <c r="G151" s="49"/>
      <c r="H151" s="49">
        <v>318751</v>
      </c>
      <c r="I151" s="49">
        <v>318693</v>
      </c>
      <c r="J151" s="49">
        <v>318816</v>
      </c>
      <c r="K151" s="49">
        <v>321194</v>
      </c>
      <c r="L151" s="49">
        <v>321117</v>
      </c>
      <c r="M151" s="49">
        <v>321010</v>
      </c>
      <c r="N151" s="49">
        <v>320948</v>
      </c>
      <c r="O151" s="49">
        <v>322073</v>
      </c>
      <c r="P151" s="49">
        <v>322290</v>
      </c>
      <c r="Q151" s="49">
        <v>322287</v>
      </c>
      <c r="R151" s="49">
        <v>322276</v>
      </c>
      <c r="S151" s="46">
        <v>322066</v>
      </c>
      <c r="T151" s="50">
        <v>322089</v>
      </c>
      <c r="U151" s="46">
        <v>322089</v>
      </c>
      <c r="V151" s="46">
        <v>322089</v>
      </c>
      <c r="W151" s="13">
        <v>322003</v>
      </c>
      <c r="X151" s="13">
        <v>322003</v>
      </c>
      <c r="Y151" s="13">
        <v>322003</v>
      </c>
      <c r="Z151" s="13">
        <v>372434</v>
      </c>
      <c r="AA151" s="13">
        <v>372533</v>
      </c>
      <c r="AB151" s="13">
        <v>372533</v>
      </c>
      <c r="AC151" s="13">
        <v>372533</v>
      </c>
      <c r="AD151" s="13">
        <v>372533</v>
      </c>
      <c r="AE151" s="13">
        <v>372533</v>
      </c>
      <c r="AF151" s="13">
        <v>372533</v>
      </c>
      <c r="AG151" s="13">
        <v>372533</v>
      </c>
      <c r="AH151" s="13">
        <v>372533</v>
      </c>
      <c r="AI151" s="13">
        <v>372533</v>
      </c>
      <c r="AJ151" s="13">
        <v>372533</v>
      </c>
      <c r="AK151" s="13">
        <v>372533</v>
      </c>
      <c r="AN151" s="46"/>
      <c r="AO151" s="46"/>
    </row>
    <row r="152" spans="1:41" x14ac:dyDescent="0.2">
      <c r="A152" s="63">
        <v>2007</v>
      </c>
      <c r="B152" s="63">
        <v>2</v>
      </c>
      <c r="C152" s="49"/>
      <c r="D152" s="49"/>
      <c r="E152" s="49"/>
      <c r="F152" s="49"/>
      <c r="G152" s="49"/>
      <c r="H152" s="49"/>
      <c r="I152" s="49">
        <v>319111</v>
      </c>
      <c r="J152" s="49">
        <v>319001</v>
      </c>
      <c r="K152" s="49">
        <v>321269</v>
      </c>
      <c r="L152" s="49">
        <v>321154</v>
      </c>
      <c r="M152" s="49">
        <v>321420</v>
      </c>
      <c r="N152" s="49">
        <v>321382</v>
      </c>
      <c r="O152" s="49">
        <v>322453</v>
      </c>
      <c r="P152" s="49">
        <v>322551</v>
      </c>
      <c r="Q152" s="49">
        <v>322650</v>
      </c>
      <c r="R152" s="49">
        <v>322723</v>
      </c>
      <c r="S152" s="46">
        <v>322562</v>
      </c>
      <c r="T152" s="50">
        <v>322280</v>
      </c>
      <c r="U152" s="46">
        <v>322280</v>
      </c>
      <c r="V152" s="46">
        <v>322280</v>
      </c>
      <c r="W152" s="13">
        <v>322274</v>
      </c>
      <c r="X152" s="13">
        <v>322274</v>
      </c>
      <c r="Y152" s="13">
        <v>322274</v>
      </c>
      <c r="Z152" s="13">
        <v>373164</v>
      </c>
      <c r="AA152" s="13">
        <v>373065</v>
      </c>
      <c r="AB152" s="13">
        <v>373065</v>
      </c>
      <c r="AC152" s="13">
        <v>373065</v>
      </c>
      <c r="AD152" s="13">
        <v>373065</v>
      </c>
      <c r="AE152" s="13">
        <v>373065</v>
      </c>
      <c r="AF152" s="13">
        <v>373065</v>
      </c>
      <c r="AG152" s="13">
        <v>373065</v>
      </c>
      <c r="AH152" s="13">
        <v>373065</v>
      </c>
      <c r="AI152" s="13">
        <v>373065</v>
      </c>
      <c r="AJ152" s="13">
        <v>373065</v>
      </c>
      <c r="AK152" s="13">
        <v>373065</v>
      </c>
      <c r="AN152" s="46"/>
      <c r="AO152" s="46"/>
    </row>
    <row r="153" spans="1:41" x14ac:dyDescent="0.2">
      <c r="A153" s="63">
        <v>2007</v>
      </c>
      <c r="B153" s="63">
        <v>3</v>
      </c>
      <c r="C153" s="49"/>
      <c r="D153" s="49"/>
      <c r="E153" s="49"/>
      <c r="F153" s="49"/>
      <c r="G153" s="49"/>
      <c r="H153" s="49"/>
      <c r="I153" s="49"/>
      <c r="J153" s="49">
        <v>320334</v>
      </c>
      <c r="K153" s="49">
        <v>321833</v>
      </c>
      <c r="L153" s="49">
        <v>321891</v>
      </c>
      <c r="M153" s="49">
        <v>321862</v>
      </c>
      <c r="N153" s="49">
        <v>321919</v>
      </c>
      <c r="O153" s="49">
        <v>323113</v>
      </c>
      <c r="P153" s="49">
        <v>323203</v>
      </c>
      <c r="Q153" s="49">
        <v>323167</v>
      </c>
      <c r="R153" s="49">
        <v>323176</v>
      </c>
      <c r="S153" s="46">
        <v>322900</v>
      </c>
      <c r="T153" s="50">
        <v>322929</v>
      </c>
      <c r="U153" s="46">
        <v>322929</v>
      </c>
      <c r="V153" s="46">
        <v>322929</v>
      </c>
      <c r="W153" s="13">
        <v>322965</v>
      </c>
      <c r="X153" s="13">
        <v>322965</v>
      </c>
      <c r="Y153" s="13">
        <v>322965</v>
      </c>
      <c r="Z153" s="13">
        <v>374271</v>
      </c>
      <c r="AA153" s="13">
        <v>374372</v>
      </c>
      <c r="AB153" s="13">
        <v>374372</v>
      </c>
      <c r="AC153" s="13">
        <v>374372</v>
      </c>
      <c r="AD153" s="13">
        <v>374372</v>
      </c>
      <c r="AE153" s="13">
        <v>374372</v>
      </c>
      <c r="AF153" s="13">
        <v>374372</v>
      </c>
      <c r="AG153" s="13">
        <v>374372</v>
      </c>
      <c r="AH153" s="13">
        <v>374372</v>
      </c>
      <c r="AI153" s="13">
        <v>374372</v>
      </c>
      <c r="AJ153" s="13">
        <v>374372</v>
      </c>
      <c r="AK153" s="13">
        <v>374372</v>
      </c>
      <c r="AN153" s="46"/>
      <c r="AO153" s="46"/>
    </row>
    <row r="154" spans="1:41" x14ac:dyDescent="0.2">
      <c r="A154" s="63">
        <v>2007</v>
      </c>
      <c r="B154" s="63">
        <v>4</v>
      </c>
      <c r="C154" s="49"/>
      <c r="D154" s="49"/>
      <c r="E154" s="49"/>
      <c r="F154" s="49"/>
      <c r="G154" s="49"/>
      <c r="H154" s="49"/>
      <c r="I154" s="49"/>
      <c r="J154" s="49"/>
      <c r="K154" s="49">
        <v>320464</v>
      </c>
      <c r="L154" s="49">
        <v>320598</v>
      </c>
      <c r="M154" s="49">
        <v>320469</v>
      </c>
      <c r="N154" s="49">
        <v>320512</v>
      </c>
      <c r="O154" s="49">
        <v>322253</v>
      </c>
      <c r="P154" s="49">
        <v>321849</v>
      </c>
      <c r="Q154" s="49">
        <v>321788</v>
      </c>
      <c r="R154" s="49">
        <v>321717</v>
      </c>
      <c r="S154" s="46">
        <v>321311</v>
      </c>
      <c r="T154" s="50">
        <v>321541</v>
      </c>
      <c r="U154" s="46">
        <v>321541</v>
      </c>
      <c r="V154" s="46">
        <v>321541</v>
      </c>
      <c r="W154" s="13">
        <v>321646</v>
      </c>
      <c r="X154" s="13">
        <v>321646</v>
      </c>
      <c r="Y154" s="13">
        <v>321646</v>
      </c>
      <c r="Z154" s="13">
        <v>372629</v>
      </c>
      <c r="AA154" s="13">
        <v>372442</v>
      </c>
      <c r="AB154" s="13">
        <v>372442</v>
      </c>
      <c r="AC154" s="13">
        <v>372442</v>
      </c>
      <c r="AD154" s="13">
        <v>372442</v>
      </c>
      <c r="AE154" s="13">
        <v>372442</v>
      </c>
      <c r="AF154" s="13">
        <v>372442</v>
      </c>
      <c r="AG154" s="13">
        <v>372442</v>
      </c>
      <c r="AH154" s="13">
        <v>372442</v>
      </c>
      <c r="AI154" s="13">
        <v>372442</v>
      </c>
      <c r="AJ154" s="13">
        <v>372442</v>
      </c>
      <c r="AK154" s="13">
        <v>372442</v>
      </c>
      <c r="AN154" s="46"/>
      <c r="AO154" s="46"/>
    </row>
    <row r="155" spans="1:41" x14ac:dyDescent="0.2">
      <c r="A155" s="63">
        <v>2008</v>
      </c>
      <c r="B155" s="63">
        <v>1</v>
      </c>
      <c r="C155" s="49"/>
      <c r="D155" s="49"/>
      <c r="E155" s="49"/>
      <c r="F155" s="49"/>
      <c r="G155" s="49"/>
      <c r="H155" s="49"/>
      <c r="I155" s="49"/>
      <c r="J155" s="49"/>
      <c r="K155" s="49"/>
      <c r="L155" s="49">
        <v>322137</v>
      </c>
      <c r="M155" s="49">
        <v>322083</v>
      </c>
      <c r="N155" s="49">
        <v>322180</v>
      </c>
      <c r="O155" s="49">
        <v>323312</v>
      </c>
      <c r="P155" s="49">
        <v>323449</v>
      </c>
      <c r="Q155" s="49">
        <v>323451</v>
      </c>
      <c r="R155" s="49">
        <v>323413</v>
      </c>
      <c r="S155" s="46">
        <v>322579</v>
      </c>
      <c r="T155" s="50">
        <v>322955</v>
      </c>
      <c r="U155" s="46">
        <v>322927</v>
      </c>
      <c r="V155" s="46">
        <v>322963</v>
      </c>
      <c r="W155" s="13">
        <v>322957</v>
      </c>
      <c r="X155" s="13">
        <v>322957</v>
      </c>
      <c r="Y155" s="13">
        <v>322957</v>
      </c>
      <c r="Z155" s="13">
        <v>373968</v>
      </c>
      <c r="AA155" s="13">
        <v>374145</v>
      </c>
      <c r="AB155" s="13">
        <v>374145</v>
      </c>
      <c r="AC155" s="13">
        <v>374145</v>
      </c>
      <c r="AD155" s="13">
        <v>374235</v>
      </c>
      <c r="AE155" s="13">
        <v>374367</v>
      </c>
      <c r="AF155" s="13">
        <v>374367</v>
      </c>
      <c r="AG155" s="13">
        <v>374367</v>
      </c>
      <c r="AH155" s="13">
        <v>374367</v>
      </c>
      <c r="AI155" s="13">
        <v>374367</v>
      </c>
      <c r="AJ155" s="13">
        <v>374367</v>
      </c>
      <c r="AK155" s="13">
        <v>374367</v>
      </c>
      <c r="AN155" s="46"/>
      <c r="AO155" s="46"/>
    </row>
    <row r="156" spans="1:41" x14ac:dyDescent="0.2">
      <c r="A156" s="63">
        <v>2008</v>
      </c>
      <c r="B156" s="63">
        <v>2</v>
      </c>
      <c r="M156" s="46">
        <v>321233</v>
      </c>
      <c r="N156" s="46">
        <v>320764</v>
      </c>
      <c r="O156" s="46">
        <v>321220</v>
      </c>
      <c r="P156" s="46">
        <v>321625</v>
      </c>
      <c r="Q156" s="46">
        <v>321537</v>
      </c>
      <c r="R156" s="46">
        <v>321588</v>
      </c>
      <c r="S156" s="46">
        <v>320581</v>
      </c>
      <c r="T156" s="50">
        <v>320808</v>
      </c>
      <c r="U156" s="46">
        <v>320789</v>
      </c>
      <c r="V156" s="46">
        <v>320816</v>
      </c>
      <c r="W156" s="13">
        <v>320846</v>
      </c>
      <c r="X156" s="13">
        <v>320846</v>
      </c>
      <c r="Y156" s="13">
        <v>320846</v>
      </c>
      <c r="Z156" s="13">
        <v>372049</v>
      </c>
      <c r="AA156" s="13">
        <v>371982</v>
      </c>
      <c r="AB156" s="13">
        <v>371982</v>
      </c>
      <c r="AC156" s="13">
        <v>371982</v>
      </c>
      <c r="AD156" s="13">
        <v>372183</v>
      </c>
      <c r="AE156" s="13">
        <v>372159</v>
      </c>
      <c r="AF156" s="13">
        <v>372159</v>
      </c>
      <c r="AG156" s="13">
        <v>372159</v>
      </c>
      <c r="AH156" s="13">
        <v>372159</v>
      </c>
      <c r="AI156" s="13">
        <v>372159</v>
      </c>
      <c r="AJ156" s="13">
        <v>372159</v>
      </c>
      <c r="AK156" s="13">
        <v>372159</v>
      </c>
      <c r="AN156" s="46"/>
      <c r="AO156" s="46"/>
    </row>
    <row r="157" spans="1:41" x14ac:dyDescent="0.2">
      <c r="A157" s="63">
        <v>2008</v>
      </c>
      <c r="B157" s="63">
        <v>3</v>
      </c>
      <c r="N157" s="46">
        <v>319080</v>
      </c>
      <c r="O157" s="46">
        <v>319021</v>
      </c>
      <c r="P157" s="46">
        <v>319088</v>
      </c>
      <c r="Q157" s="46">
        <v>319041</v>
      </c>
      <c r="R157" s="46">
        <v>319000</v>
      </c>
      <c r="S157" s="46">
        <v>317782</v>
      </c>
      <c r="T157" s="50">
        <v>317178</v>
      </c>
      <c r="U157" s="46">
        <v>317228</v>
      </c>
      <c r="V157" s="46">
        <v>317237</v>
      </c>
      <c r="W157" s="13">
        <v>317236</v>
      </c>
      <c r="X157" s="13">
        <v>317236</v>
      </c>
      <c r="Y157" s="13">
        <v>317236</v>
      </c>
      <c r="Z157" s="13">
        <v>368044</v>
      </c>
      <c r="AA157" s="13">
        <v>367788</v>
      </c>
      <c r="AB157" s="13">
        <v>367788</v>
      </c>
      <c r="AC157" s="13">
        <v>367788</v>
      </c>
      <c r="AD157" s="13">
        <v>367368</v>
      </c>
      <c r="AE157" s="13">
        <v>367297</v>
      </c>
      <c r="AF157" s="13">
        <v>367297</v>
      </c>
      <c r="AG157" s="13">
        <v>367297</v>
      </c>
      <c r="AH157" s="13">
        <v>367297</v>
      </c>
      <c r="AI157" s="13">
        <v>367297</v>
      </c>
      <c r="AJ157" s="13">
        <v>367297</v>
      </c>
      <c r="AK157" s="13">
        <v>367297</v>
      </c>
      <c r="AN157" s="46"/>
      <c r="AO157" s="46"/>
    </row>
    <row r="158" spans="1:41" x14ac:dyDescent="0.2">
      <c r="A158" s="63">
        <v>2008</v>
      </c>
      <c r="B158" s="63">
        <v>4</v>
      </c>
      <c r="O158" s="46">
        <v>312885</v>
      </c>
      <c r="P158" s="46">
        <v>312276</v>
      </c>
      <c r="Q158" s="46">
        <v>312410</v>
      </c>
      <c r="R158" s="46">
        <v>312438</v>
      </c>
      <c r="S158" s="46">
        <v>310865</v>
      </c>
      <c r="T158" s="50">
        <v>310867</v>
      </c>
      <c r="U158" s="46">
        <v>310863</v>
      </c>
      <c r="V158" s="46">
        <v>310792</v>
      </c>
      <c r="W158" s="13">
        <v>310761</v>
      </c>
      <c r="X158" s="13">
        <v>310761</v>
      </c>
      <c r="Y158" s="13">
        <v>310761</v>
      </c>
      <c r="Z158" s="13">
        <v>361166</v>
      </c>
      <c r="AA158" s="13">
        <v>361174</v>
      </c>
      <c r="AB158" s="13">
        <v>361174</v>
      </c>
      <c r="AC158" s="13">
        <v>361174</v>
      </c>
      <c r="AD158" s="13">
        <v>361324</v>
      </c>
      <c r="AE158" s="13">
        <v>361258</v>
      </c>
      <c r="AF158" s="13">
        <v>361258</v>
      </c>
      <c r="AG158" s="13">
        <v>361258</v>
      </c>
      <c r="AH158" s="13">
        <v>361258</v>
      </c>
      <c r="AI158" s="13">
        <v>361258</v>
      </c>
      <c r="AJ158" s="13">
        <v>361258</v>
      </c>
      <c r="AK158" s="13">
        <v>361258</v>
      </c>
      <c r="AN158" s="46"/>
      <c r="AO158" s="46"/>
    </row>
    <row r="159" spans="1:41" x14ac:dyDescent="0.2">
      <c r="A159" s="63">
        <v>2009</v>
      </c>
      <c r="B159" s="63">
        <v>1</v>
      </c>
      <c r="P159" s="46">
        <v>304056</v>
      </c>
      <c r="Q159" s="46">
        <v>303934</v>
      </c>
      <c r="R159" s="46">
        <v>303939</v>
      </c>
      <c r="S159" s="46">
        <v>302438</v>
      </c>
      <c r="T159" s="50">
        <v>301911</v>
      </c>
      <c r="U159" s="46">
        <v>301902</v>
      </c>
      <c r="V159" s="46">
        <v>301919</v>
      </c>
      <c r="W159" s="13">
        <v>301411</v>
      </c>
      <c r="X159" s="13">
        <v>301475</v>
      </c>
      <c r="Y159" s="13">
        <v>301430</v>
      </c>
      <c r="Z159" s="13">
        <v>349780</v>
      </c>
      <c r="AA159" s="13">
        <v>348437</v>
      </c>
      <c r="AB159" s="13">
        <v>348437</v>
      </c>
      <c r="AC159" s="13">
        <v>348437</v>
      </c>
      <c r="AD159" s="13">
        <v>348364</v>
      </c>
      <c r="AE159" s="13">
        <v>348134</v>
      </c>
      <c r="AF159" s="13">
        <v>348134</v>
      </c>
      <c r="AG159" s="13">
        <v>348134</v>
      </c>
      <c r="AH159" s="13">
        <v>348608</v>
      </c>
      <c r="AI159" s="13">
        <v>348521</v>
      </c>
      <c r="AJ159" s="13">
        <v>348521</v>
      </c>
      <c r="AK159" s="13">
        <v>348521</v>
      </c>
      <c r="AN159" s="46"/>
      <c r="AO159" s="46"/>
    </row>
    <row r="160" spans="1:41" x14ac:dyDescent="0.2">
      <c r="A160" s="63">
        <v>2009</v>
      </c>
      <c r="B160" s="63">
        <v>2</v>
      </c>
      <c r="Q160" s="46">
        <v>302403</v>
      </c>
      <c r="R160" s="46">
        <v>302462</v>
      </c>
      <c r="S160" s="46">
        <v>300960</v>
      </c>
      <c r="T160" s="50">
        <v>301155</v>
      </c>
      <c r="U160" s="46">
        <v>301028</v>
      </c>
      <c r="V160" s="46">
        <v>301091</v>
      </c>
      <c r="W160" s="13">
        <v>300445</v>
      </c>
      <c r="X160" s="13">
        <v>300533</v>
      </c>
      <c r="Y160" s="13">
        <v>300592</v>
      </c>
      <c r="Z160" s="13">
        <v>349296</v>
      </c>
      <c r="AA160" s="13">
        <v>347848</v>
      </c>
      <c r="AB160" s="13">
        <v>347848</v>
      </c>
      <c r="AC160" s="13">
        <v>347848</v>
      </c>
      <c r="AD160" s="13">
        <v>347771</v>
      </c>
      <c r="AE160" s="13">
        <v>347435</v>
      </c>
      <c r="AF160" s="13">
        <v>347435</v>
      </c>
      <c r="AG160" s="13">
        <v>347435</v>
      </c>
      <c r="AH160" s="13">
        <v>347444</v>
      </c>
      <c r="AI160" s="13">
        <v>347324</v>
      </c>
      <c r="AJ160" s="13">
        <v>347324</v>
      </c>
      <c r="AK160" s="13">
        <v>347324</v>
      </c>
      <c r="AN160" s="46"/>
      <c r="AO160" s="46"/>
    </row>
    <row r="161" spans="1:41" x14ac:dyDescent="0.2">
      <c r="A161" s="63">
        <v>2009</v>
      </c>
      <c r="B161" s="63">
        <v>3</v>
      </c>
      <c r="R161" s="46">
        <v>304180</v>
      </c>
      <c r="S161" s="46">
        <v>302525</v>
      </c>
      <c r="T161" s="50">
        <v>302316</v>
      </c>
      <c r="U161" s="46">
        <v>302375</v>
      </c>
      <c r="V161" s="46">
        <v>302332</v>
      </c>
      <c r="W161" s="13">
        <v>301627</v>
      </c>
      <c r="X161" s="13">
        <v>301615</v>
      </c>
      <c r="Y161" s="13">
        <v>301663</v>
      </c>
      <c r="Z161" s="13">
        <v>350939</v>
      </c>
      <c r="AA161" s="13">
        <v>349099</v>
      </c>
      <c r="AB161" s="13">
        <v>349099</v>
      </c>
      <c r="AC161" s="13">
        <v>349099</v>
      </c>
      <c r="AD161" s="13">
        <v>349035</v>
      </c>
      <c r="AE161" s="13">
        <v>349155</v>
      </c>
      <c r="AF161" s="13">
        <v>349155</v>
      </c>
      <c r="AG161" s="13">
        <v>349155</v>
      </c>
      <c r="AH161" s="13">
        <v>348938</v>
      </c>
      <c r="AI161" s="13">
        <v>348950</v>
      </c>
      <c r="AJ161" s="13">
        <v>348950</v>
      </c>
      <c r="AK161" s="13">
        <v>348950</v>
      </c>
      <c r="AN161" s="46"/>
      <c r="AO161" s="46"/>
    </row>
    <row r="162" spans="1:41" x14ac:dyDescent="0.2">
      <c r="A162" s="63">
        <v>2009</v>
      </c>
      <c r="B162" s="63">
        <v>4</v>
      </c>
      <c r="S162" s="46">
        <v>301569</v>
      </c>
      <c r="T162" s="50">
        <v>302109</v>
      </c>
      <c r="U162" s="46">
        <v>302186</v>
      </c>
      <c r="V162" s="46">
        <v>302149</v>
      </c>
      <c r="W162" s="13">
        <v>301717</v>
      </c>
      <c r="X162" s="13">
        <v>301576</v>
      </c>
      <c r="Y162" s="13">
        <v>301515</v>
      </c>
      <c r="Z162" s="13">
        <v>350607</v>
      </c>
      <c r="AA162" s="13">
        <v>348532</v>
      </c>
      <c r="AB162" s="13">
        <v>348532</v>
      </c>
      <c r="AC162" s="13">
        <v>348532</v>
      </c>
      <c r="AD162" s="13">
        <v>348752</v>
      </c>
      <c r="AE162" s="13">
        <v>349149</v>
      </c>
      <c r="AF162" s="13">
        <v>349149</v>
      </c>
      <c r="AG162" s="13">
        <v>349149</v>
      </c>
      <c r="AH162" s="13">
        <v>348522</v>
      </c>
      <c r="AI162" s="13">
        <v>348699</v>
      </c>
      <c r="AJ162" s="13">
        <v>348699</v>
      </c>
      <c r="AK162" s="13">
        <v>348699</v>
      </c>
      <c r="AN162" s="46"/>
      <c r="AO162" s="46"/>
    </row>
    <row r="163" spans="1:41" x14ac:dyDescent="0.2">
      <c r="A163" s="63">
        <v>2010</v>
      </c>
      <c r="B163" s="63">
        <v>1</v>
      </c>
      <c r="T163" s="50">
        <v>303385</v>
      </c>
      <c r="U163" s="46">
        <v>303488</v>
      </c>
      <c r="V163" s="46">
        <v>303452</v>
      </c>
      <c r="W163" s="13">
        <v>303281</v>
      </c>
      <c r="X163" s="13">
        <v>303428</v>
      </c>
      <c r="Y163" s="13">
        <v>303450</v>
      </c>
      <c r="Z163" s="13">
        <v>353446</v>
      </c>
      <c r="AA163" s="13">
        <v>352416</v>
      </c>
      <c r="AB163" s="13">
        <v>352129</v>
      </c>
      <c r="AC163" s="13">
        <v>352039</v>
      </c>
      <c r="AD163" s="13">
        <v>352108</v>
      </c>
      <c r="AE163" s="13">
        <v>352180</v>
      </c>
      <c r="AF163" s="13">
        <v>351895</v>
      </c>
      <c r="AG163" s="13">
        <v>351895</v>
      </c>
      <c r="AH163" s="13">
        <v>351606</v>
      </c>
      <c r="AI163" s="13">
        <v>351641</v>
      </c>
      <c r="AJ163" s="13">
        <v>351641</v>
      </c>
      <c r="AK163" s="13">
        <v>351641</v>
      </c>
      <c r="AN163" s="46"/>
      <c r="AO163" s="46"/>
    </row>
    <row r="164" spans="1:41" x14ac:dyDescent="0.2">
      <c r="A164" s="63">
        <v>2010</v>
      </c>
      <c r="B164" s="63">
        <v>2</v>
      </c>
      <c r="U164" s="46">
        <v>304874</v>
      </c>
      <c r="V164" s="46">
        <v>304855</v>
      </c>
      <c r="W164" s="13">
        <v>304892</v>
      </c>
      <c r="X164" s="13">
        <v>304904</v>
      </c>
      <c r="Y164" s="13">
        <v>304891</v>
      </c>
      <c r="Z164" s="13">
        <v>354954</v>
      </c>
      <c r="AA164" s="13">
        <v>354235</v>
      </c>
      <c r="AB164" s="13">
        <v>354261</v>
      </c>
      <c r="AC164" s="13">
        <v>354415</v>
      </c>
      <c r="AD164" s="13">
        <v>354295</v>
      </c>
      <c r="AE164" s="13">
        <v>353993</v>
      </c>
      <c r="AF164" s="13">
        <v>353976</v>
      </c>
      <c r="AG164" s="13">
        <v>353976</v>
      </c>
      <c r="AH164" s="13">
        <v>353663</v>
      </c>
      <c r="AI164" s="13">
        <v>353681</v>
      </c>
      <c r="AJ164" s="13">
        <v>353681</v>
      </c>
      <c r="AK164" s="13">
        <v>353681</v>
      </c>
      <c r="AN164" s="46"/>
      <c r="AO164" s="46"/>
    </row>
    <row r="165" spans="1:41" x14ac:dyDescent="0.2">
      <c r="A165" s="63">
        <v>2010</v>
      </c>
      <c r="B165" s="63">
        <v>3</v>
      </c>
      <c r="V165" s="46">
        <v>305648</v>
      </c>
      <c r="W165" s="13">
        <v>305864</v>
      </c>
      <c r="X165" s="13">
        <v>305762</v>
      </c>
      <c r="Y165" s="13">
        <v>305848</v>
      </c>
      <c r="Z165" s="13">
        <v>356102</v>
      </c>
      <c r="AA165" s="13">
        <v>355602</v>
      </c>
      <c r="AB165" s="13">
        <v>355694</v>
      </c>
      <c r="AC165" s="13">
        <v>355696</v>
      </c>
      <c r="AD165" s="13">
        <v>355781</v>
      </c>
      <c r="AE165" s="13">
        <v>355260</v>
      </c>
      <c r="AF165" s="13">
        <v>355412</v>
      </c>
      <c r="AG165" s="13">
        <v>355412</v>
      </c>
      <c r="AH165" s="13">
        <v>355274</v>
      </c>
      <c r="AI165" s="13">
        <v>355239</v>
      </c>
      <c r="AJ165" s="13">
        <v>355239</v>
      </c>
      <c r="AK165" s="13">
        <v>355239</v>
      </c>
      <c r="AN165" s="46"/>
      <c r="AO165" s="46"/>
    </row>
    <row r="166" spans="1:41" x14ac:dyDescent="0.2">
      <c r="A166" s="63">
        <v>2010</v>
      </c>
      <c r="B166" s="63">
        <v>4</v>
      </c>
      <c r="W166" s="13">
        <v>306216</v>
      </c>
      <c r="X166" s="13">
        <v>306159</v>
      </c>
      <c r="Y166" s="13">
        <v>306065</v>
      </c>
      <c r="Z166" s="13">
        <v>356057</v>
      </c>
      <c r="AA166" s="13">
        <v>356224</v>
      </c>
      <c r="AB166" s="13">
        <v>356393</v>
      </c>
      <c r="AC166" s="13">
        <v>356328</v>
      </c>
      <c r="AD166" s="13">
        <v>356397</v>
      </c>
      <c r="AE166" s="13">
        <v>355868</v>
      </c>
      <c r="AF166" s="13">
        <v>356017</v>
      </c>
      <c r="AG166" s="13">
        <v>356017</v>
      </c>
      <c r="AH166" s="13">
        <v>356419</v>
      </c>
      <c r="AI166" s="13">
        <v>356386</v>
      </c>
      <c r="AJ166" s="13">
        <v>356386</v>
      </c>
      <c r="AK166" s="13">
        <v>356386</v>
      </c>
      <c r="AN166" s="46"/>
      <c r="AO166" s="46"/>
    </row>
    <row r="167" spans="1:41" x14ac:dyDescent="0.2">
      <c r="A167" s="63">
        <v>2011</v>
      </c>
      <c r="B167" s="63">
        <v>1</v>
      </c>
      <c r="X167" s="13">
        <v>306551</v>
      </c>
      <c r="Y167" s="13">
        <v>306480</v>
      </c>
      <c r="Z167" s="13">
        <v>356397</v>
      </c>
      <c r="AA167" s="13">
        <v>356645</v>
      </c>
      <c r="AB167" s="13">
        <v>356744</v>
      </c>
      <c r="AC167" s="13">
        <v>356851</v>
      </c>
      <c r="AD167" s="13">
        <v>356711</v>
      </c>
      <c r="AE167" s="13">
        <v>356320</v>
      </c>
      <c r="AF167" s="13">
        <v>356572</v>
      </c>
      <c r="AG167" s="13">
        <v>356555</v>
      </c>
      <c r="AH167" s="13">
        <v>356683</v>
      </c>
      <c r="AI167" s="13">
        <v>356621</v>
      </c>
      <c r="AJ167" s="13">
        <v>356621</v>
      </c>
      <c r="AK167" s="13">
        <v>356621</v>
      </c>
      <c r="AN167" s="46"/>
      <c r="AO167" s="46"/>
    </row>
    <row r="168" spans="1:41" x14ac:dyDescent="0.2">
      <c r="A168" s="63">
        <v>2011</v>
      </c>
      <c r="B168" s="63">
        <v>2</v>
      </c>
      <c r="Y168" s="13">
        <v>307396</v>
      </c>
      <c r="Z168" s="13">
        <v>357408</v>
      </c>
      <c r="AA168" s="13">
        <v>357743</v>
      </c>
      <c r="AB168" s="13">
        <v>357809</v>
      </c>
      <c r="AC168" s="13">
        <v>357834</v>
      </c>
      <c r="AD168" s="13">
        <v>357726</v>
      </c>
      <c r="AE168" s="13">
        <v>357248</v>
      </c>
      <c r="AF168" s="13">
        <v>357074</v>
      </c>
      <c r="AG168" s="13">
        <v>357077</v>
      </c>
      <c r="AH168" s="13">
        <v>357590</v>
      </c>
      <c r="AI168" s="13">
        <v>357461</v>
      </c>
      <c r="AJ168" s="13">
        <v>357461</v>
      </c>
      <c r="AK168" s="13">
        <v>357461</v>
      </c>
      <c r="AN168" s="46"/>
      <c r="AO168" s="46"/>
    </row>
    <row r="169" spans="1:41" x14ac:dyDescent="0.2">
      <c r="A169" s="63">
        <v>2011</v>
      </c>
      <c r="B169" s="63">
        <v>3</v>
      </c>
      <c r="Z169" s="13">
        <v>356867</v>
      </c>
      <c r="AA169" s="13">
        <v>357077</v>
      </c>
      <c r="AB169" s="13">
        <v>357020</v>
      </c>
      <c r="AC169" s="13">
        <v>357031</v>
      </c>
      <c r="AD169" s="13">
        <v>357310</v>
      </c>
      <c r="AE169" s="13">
        <v>356765</v>
      </c>
      <c r="AF169" s="13">
        <v>356596</v>
      </c>
      <c r="AG169" s="13">
        <v>356604</v>
      </c>
      <c r="AH169" s="13">
        <v>356906</v>
      </c>
      <c r="AI169" s="13">
        <v>356706</v>
      </c>
      <c r="AJ169" s="13">
        <v>356706</v>
      </c>
      <c r="AK169" s="13">
        <v>356706</v>
      </c>
      <c r="AN169" s="46"/>
      <c r="AO169" s="46"/>
    </row>
    <row r="170" spans="1:41" x14ac:dyDescent="0.2">
      <c r="A170" s="63">
        <v>2011</v>
      </c>
      <c r="B170" s="63">
        <v>4</v>
      </c>
      <c r="AA170" s="13">
        <v>354695</v>
      </c>
      <c r="AB170" s="13">
        <v>354587</v>
      </c>
      <c r="AC170" s="13">
        <v>354444</v>
      </c>
      <c r="AD170" s="13">
        <v>354725</v>
      </c>
      <c r="AE170" s="13">
        <v>353974</v>
      </c>
      <c r="AF170" s="13">
        <v>354066</v>
      </c>
      <c r="AG170" s="13">
        <v>354072</v>
      </c>
      <c r="AH170" s="13">
        <v>354356</v>
      </c>
      <c r="AI170" s="13">
        <v>354340</v>
      </c>
      <c r="AJ170" s="13">
        <v>354340</v>
      </c>
      <c r="AK170" s="13">
        <v>354340</v>
      </c>
      <c r="AN170" s="46"/>
      <c r="AO170" s="46"/>
    </row>
    <row r="171" spans="1:41" x14ac:dyDescent="0.2">
      <c r="A171" s="63">
        <v>2012</v>
      </c>
      <c r="B171" s="63">
        <v>1</v>
      </c>
      <c r="AB171" s="13">
        <v>351686</v>
      </c>
      <c r="AC171" s="13">
        <v>351447</v>
      </c>
      <c r="AD171" s="13">
        <v>352025</v>
      </c>
      <c r="AE171" s="13">
        <v>350683</v>
      </c>
      <c r="AF171" s="13">
        <v>350450</v>
      </c>
      <c r="AG171" s="13">
        <v>350384</v>
      </c>
      <c r="AH171" s="13">
        <v>350401</v>
      </c>
      <c r="AI171" s="13">
        <v>350611</v>
      </c>
      <c r="AJ171" s="13">
        <v>350603</v>
      </c>
      <c r="AK171" s="13">
        <v>350521</v>
      </c>
      <c r="AN171" s="46"/>
      <c r="AO171" s="46"/>
    </row>
    <row r="172" spans="1:41" x14ac:dyDescent="0.2">
      <c r="A172" s="63">
        <v>2012</v>
      </c>
      <c r="B172" s="63">
        <v>2</v>
      </c>
      <c r="AC172" s="13">
        <v>348488</v>
      </c>
      <c r="AD172" s="13">
        <v>349415</v>
      </c>
      <c r="AE172" s="13">
        <v>348053</v>
      </c>
      <c r="AF172" s="13">
        <v>348247</v>
      </c>
      <c r="AG172" s="13">
        <v>348442</v>
      </c>
      <c r="AH172" s="13">
        <v>348352</v>
      </c>
      <c r="AI172" s="13">
        <v>348744</v>
      </c>
      <c r="AJ172" s="13">
        <v>348772</v>
      </c>
      <c r="AK172" s="13">
        <v>348829</v>
      </c>
      <c r="AN172" s="46"/>
      <c r="AO172" s="46"/>
    </row>
    <row r="173" spans="1:41" x14ac:dyDescent="0.2">
      <c r="A173" s="63">
        <v>2012</v>
      </c>
      <c r="B173" s="63">
        <v>3</v>
      </c>
      <c r="AD173" s="13">
        <v>348750</v>
      </c>
      <c r="AE173" s="13">
        <v>347387</v>
      </c>
      <c r="AF173" s="13">
        <v>347370</v>
      </c>
      <c r="AG173" s="13">
        <v>347355</v>
      </c>
      <c r="AH173" s="13">
        <v>346735</v>
      </c>
      <c r="AI173" s="13">
        <v>347375</v>
      </c>
      <c r="AJ173" s="13">
        <v>347395</v>
      </c>
      <c r="AK173" s="13">
        <v>347445</v>
      </c>
      <c r="AN173" s="46"/>
      <c r="AO173" s="46"/>
    </row>
    <row r="174" spans="1:41" x14ac:dyDescent="0.2">
      <c r="A174" s="63">
        <v>2012</v>
      </c>
      <c r="B174" s="63">
        <v>4</v>
      </c>
      <c r="AE174" s="13">
        <v>344151</v>
      </c>
      <c r="AF174" s="13">
        <v>344208</v>
      </c>
      <c r="AG174" s="13">
        <v>344094</v>
      </c>
      <c r="AH174" s="13">
        <v>343604</v>
      </c>
      <c r="AI174" s="13">
        <v>344301</v>
      </c>
      <c r="AJ174" s="13">
        <v>344262</v>
      </c>
      <c r="AK174" s="13">
        <v>344237</v>
      </c>
      <c r="AN174" s="46"/>
      <c r="AO174" s="46"/>
    </row>
    <row r="175" spans="1:41" x14ac:dyDescent="0.2">
      <c r="A175" s="63">
        <v>2013</v>
      </c>
      <c r="B175" s="63">
        <v>1</v>
      </c>
      <c r="AF175" s="13">
        <v>341981</v>
      </c>
      <c r="AG175" s="13">
        <v>342037</v>
      </c>
      <c r="AH175" s="13">
        <v>341604</v>
      </c>
      <c r="AI175" s="13">
        <v>342225</v>
      </c>
      <c r="AJ175" s="13">
        <v>342312</v>
      </c>
      <c r="AK175" s="13">
        <v>342189</v>
      </c>
      <c r="AN175" s="46"/>
      <c r="AO175" s="46"/>
    </row>
    <row r="176" spans="1:41" x14ac:dyDescent="0.2">
      <c r="A176" s="63">
        <v>2013</v>
      </c>
      <c r="B176" s="63">
        <v>2</v>
      </c>
      <c r="AG176" s="13">
        <v>341021</v>
      </c>
      <c r="AH176" s="13">
        <v>340576</v>
      </c>
      <c r="AI176" s="13">
        <v>341259</v>
      </c>
      <c r="AJ176" s="13">
        <v>341204</v>
      </c>
      <c r="AK176" s="13">
        <v>341159</v>
      </c>
      <c r="AN176" s="46"/>
      <c r="AO176" s="46"/>
    </row>
    <row r="177" spans="1:41" x14ac:dyDescent="0.2">
      <c r="A177" s="63">
        <v>2013</v>
      </c>
      <c r="B177" s="63">
        <v>3</v>
      </c>
      <c r="AH177" s="13">
        <v>340462</v>
      </c>
      <c r="AI177" s="13">
        <v>340820</v>
      </c>
      <c r="AJ177" s="13">
        <v>340707</v>
      </c>
      <c r="AK177" s="13">
        <v>340775</v>
      </c>
      <c r="AN177" s="46"/>
      <c r="AO177" s="46"/>
    </row>
    <row r="178" spans="1:41" x14ac:dyDescent="0.2">
      <c r="A178" s="63">
        <v>2013</v>
      </c>
      <c r="B178" s="63">
        <v>4</v>
      </c>
      <c r="AI178" s="13">
        <v>341064</v>
      </c>
      <c r="AJ178" s="13">
        <v>341144</v>
      </c>
      <c r="AK178" s="13">
        <v>341245</v>
      </c>
      <c r="AN178" s="46"/>
      <c r="AO178" s="46"/>
    </row>
    <row r="179" spans="1:41" x14ac:dyDescent="0.2">
      <c r="A179" s="63">
        <v>2014</v>
      </c>
      <c r="B179" s="63">
        <v>1</v>
      </c>
      <c r="AJ179" s="13">
        <v>340753</v>
      </c>
      <c r="AK179" s="13">
        <v>340970</v>
      </c>
      <c r="AN179" s="46"/>
      <c r="AO179" s="46"/>
    </row>
    <row r="180" spans="1:41" x14ac:dyDescent="0.2">
      <c r="A180" s="63">
        <v>2014</v>
      </c>
      <c r="B180" s="63">
        <v>2</v>
      </c>
      <c r="AK180" s="13">
        <v>340342</v>
      </c>
      <c r="AN180" s="46"/>
      <c r="AO180" s="46"/>
    </row>
    <row r="181" spans="1:41" x14ac:dyDescent="0.2">
      <c r="A181" s="63">
        <v>2014</v>
      </c>
      <c r="B181" s="63">
        <v>3</v>
      </c>
      <c r="AN181" s="46"/>
      <c r="AO181" s="46"/>
    </row>
    <row r="182" spans="1:41" x14ac:dyDescent="0.2">
      <c r="A182" s="63">
        <v>2014</v>
      </c>
      <c r="B182" s="63">
        <v>4</v>
      </c>
      <c r="AO182" s="46"/>
    </row>
    <row r="183" spans="1:41" x14ac:dyDescent="0.2">
      <c r="A183" s="63">
        <v>2015</v>
      </c>
      <c r="B183" s="63">
        <v>1</v>
      </c>
    </row>
    <row r="184" spans="1:41" x14ac:dyDescent="0.2">
      <c r="A184" s="63">
        <v>2015</v>
      </c>
      <c r="B184" s="63">
        <v>2</v>
      </c>
    </row>
    <row r="185" spans="1:41" x14ac:dyDescent="0.2">
      <c r="A185" s="63">
        <v>2015</v>
      </c>
      <c r="B185" s="63">
        <v>3</v>
      </c>
    </row>
    <row r="186" spans="1:41" x14ac:dyDescent="0.2">
      <c r="A186" s="63">
        <v>2015</v>
      </c>
      <c r="B186" s="63">
        <v>4</v>
      </c>
    </row>
    <row r="187" spans="1:41" x14ac:dyDescent="0.2">
      <c r="A187" s="63">
        <v>2016</v>
      </c>
      <c r="B187" s="63">
        <v>1</v>
      </c>
    </row>
    <row r="188" spans="1:41" x14ac:dyDescent="0.2">
      <c r="A188" s="63">
        <v>2016</v>
      </c>
      <c r="B188" s="63">
        <v>2</v>
      </c>
    </row>
    <row r="189" spans="1:41" x14ac:dyDescent="0.2">
      <c r="A189" s="63">
        <v>2016</v>
      </c>
      <c r="B189" s="63">
        <v>3</v>
      </c>
    </row>
    <row r="190" spans="1:41" x14ac:dyDescent="0.2">
      <c r="A190" s="63">
        <v>2016</v>
      </c>
      <c r="B190" s="63">
        <v>4</v>
      </c>
    </row>
    <row r="191" spans="1:41" x14ac:dyDescent="0.2">
      <c r="A191" s="63">
        <v>2017</v>
      </c>
      <c r="B191" s="63">
        <v>1</v>
      </c>
    </row>
    <row r="192" spans="1:41" x14ac:dyDescent="0.2">
      <c r="A192" s="63">
        <v>2017</v>
      </c>
      <c r="B192" s="63">
        <v>2</v>
      </c>
    </row>
    <row r="193" spans="1:2" x14ac:dyDescent="0.2">
      <c r="A193" s="63">
        <v>2017</v>
      </c>
      <c r="B193" s="63">
        <v>3</v>
      </c>
    </row>
    <row r="194" spans="1:2" x14ac:dyDescent="0.2">
      <c r="A194" s="63">
        <v>2017</v>
      </c>
      <c r="B194" s="63">
        <v>4</v>
      </c>
    </row>
    <row r="195" spans="1:2" x14ac:dyDescent="0.2">
      <c r="A195" s="63">
        <v>2018</v>
      </c>
      <c r="B195" s="63">
        <v>1</v>
      </c>
    </row>
    <row r="196" spans="1:2" x14ac:dyDescent="0.2">
      <c r="A196" s="63">
        <v>2018</v>
      </c>
      <c r="B196" s="63">
        <v>2</v>
      </c>
    </row>
    <row r="197" spans="1:2" x14ac:dyDescent="0.2">
      <c r="A197" s="63">
        <v>2018</v>
      </c>
      <c r="B197" s="63">
        <v>3</v>
      </c>
    </row>
    <row r="198" spans="1:2" x14ac:dyDescent="0.2">
      <c r="A198" s="63">
        <v>2018</v>
      </c>
      <c r="B198" s="63">
        <v>4</v>
      </c>
    </row>
    <row r="199" spans="1:2" x14ac:dyDescent="0.2">
      <c r="A199" s="63">
        <v>2019</v>
      </c>
      <c r="B199" s="63">
        <v>1</v>
      </c>
    </row>
    <row r="200" spans="1:2" x14ac:dyDescent="0.2">
      <c r="A200" s="63">
        <v>2019</v>
      </c>
      <c r="B200" s="63">
        <v>2</v>
      </c>
    </row>
    <row r="201" spans="1:2" x14ac:dyDescent="0.2">
      <c r="A201" s="63">
        <v>2019</v>
      </c>
      <c r="B201" s="63">
        <v>3</v>
      </c>
    </row>
    <row r="202" spans="1:2" x14ac:dyDescent="0.2">
      <c r="A202" s="63">
        <v>2019</v>
      </c>
      <c r="B202" s="63">
        <v>4</v>
      </c>
    </row>
    <row r="203" spans="1:2" x14ac:dyDescent="0.2">
      <c r="A203" s="63">
        <v>2020</v>
      </c>
      <c r="B203" s="63">
        <v>1</v>
      </c>
    </row>
    <row r="204" spans="1:2" x14ac:dyDescent="0.2">
      <c r="A204" s="63">
        <v>2020</v>
      </c>
      <c r="B204" s="63">
        <v>2</v>
      </c>
    </row>
    <row r="205" spans="1:2" x14ac:dyDescent="0.2">
      <c r="A205" s="63">
        <v>2020</v>
      </c>
      <c r="B205" s="63">
        <v>3</v>
      </c>
    </row>
    <row r="206" spans="1:2" x14ac:dyDescent="0.2">
      <c r="A206" s="63">
        <v>2020</v>
      </c>
      <c r="B206" s="63">
        <v>4</v>
      </c>
    </row>
    <row r="207" spans="1:2" x14ac:dyDescent="0.2">
      <c r="A207" s="63">
        <v>2021</v>
      </c>
      <c r="B207" s="63">
        <v>1</v>
      </c>
    </row>
    <row r="208" spans="1:2" x14ac:dyDescent="0.2">
      <c r="A208" s="63">
        <v>2021</v>
      </c>
      <c r="B208" s="63">
        <v>2</v>
      </c>
    </row>
    <row r="209" spans="1:2" x14ac:dyDescent="0.2">
      <c r="A209" s="63">
        <v>2021</v>
      </c>
      <c r="B209" s="63">
        <v>3</v>
      </c>
    </row>
    <row r="210" spans="1:2" x14ac:dyDescent="0.2">
      <c r="A210" s="63">
        <v>2021</v>
      </c>
      <c r="B210" s="63">
        <v>4</v>
      </c>
    </row>
    <row r="211" spans="1:2" x14ac:dyDescent="0.2">
      <c r="A211" s="63">
        <v>2022</v>
      </c>
      <c r="B211" s="63">
        <v>1</v>
      </c>
    </row>
    <row r="212" spans="1:2" x14ac:dyDescent="0.2">
      <c r="A212" s="63">
        <v>2022</v>
      </c>
      <c r="B212" s="63">
        <v>2</v>
      </c>
    </row>
    <row r="213" spans="1:2" x14ac:dyDescent="0.2">
      <c r="A213" s="63">
        <v>2022</v>
      </c>
      <c r="B213" s="63">
        <v>3</v>
      </c>
    </row>
    <row r="214" spans="1:2" x14ac:dyDescent="0.2">
      <c r="A214" s="63">
        <v>2022</v>
      </c>
      <c r="B214" s="63">
        <v>4</v>
      </c>
    </row>
  </sheetData>
  <phoneticPr fontId="6" type="noConversion"/>
  <conditionalFormatting sqref="T119:T163">
    <cfRule type="expression" dxfId="2" priority="1" stopIfTrue="1">
      <formula>IF(COUNT(T119:$XFD119)=2,IF(OR(MID($A119,1,3)="Dic",MID($A119,1,3)="Set",MID($A119,1,3)="Mar",MID($A119,1,3)="Giu"),1,0),0)</formula>
    </cfRule>
    <cfRule type="expression" dxfId="1" priority="2" stopIfTrue="1">
      <formula>IF(OR(COUNT(T119:$XFD119)=13,COUNT(T119:$XFD119)=5,COUNT(T119:$XFD119)=9),IF(OR(MID($A119,1,3)="Dic",MID($A119,1,3)="Set",MID($A119,1,3)="Mar",MID($A119,1,3)="Giu"),1,0),0)</formula>
    </cfRule>
    <cfRule type="expression" dxfId="0" priority="3" stopIfTrue="1">
      <formula>IF(COUNT(T119:$XFD119)=1,1)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62F4D-DA87-4FF7-AC5C-88059C4FDC15}">
  <dimension ref="A1:AS228"/>
  <sheetViews>
    <sheetView tabSelected="1" workbookViewId="0">
      <pane xSplit="1" ySplit="2" topLeftCell="AG212" activePane="bottomRight" state="frozen"/>
      <selection pane="topRight" activeCell="B1" sqref="B1"/>
      <selection pane="bottomLeft" activeCell="A3" sqref="A3"/>
      <selection pane="bottomRight" activeCell="AV226" sqref="AV226"/>
    </sheetView>
  </sheetViews>
  <sheetFormatPr defaultColWidth="8.77734375" defaultRowHeight="10.199999999999999" x14ac:dyDescent="0.2"/>
  <cols>
    <col min="1" max="1" width="7" style="5" customWidth="1"/>
    <col min="2" max="45" width="8.88671875" style="2" bestFit="1" customWidth="1"/>
    <col min="46" max="16384" width="8.77734375" style="2"/>
  </cols>
  <sheetData>
    <row r="1" spans="1:45" s="3" customFormat="1" x14ac:dyDescent="0.2">
      <c r="A1" s="4" t="s">
        <v>298</v>
      </c>
      <c r="B1" s="40" t="s">
        <v>127</v>
      </c>
      <c r="C1" s="40" t="s">
        <v>128</v>
      </c>
      <c r="D1" s="40" t="s">
        <v>129</v>
      </c>
      <c r="E1" s="40" t="s">
        <v>130</v>
      </c>
      <c r="F1" s="40" t="s">
        <v>131</v>
      </c>
      <c r="G1" s="40" t="s">
        <v>132</v>
      </c>
      <c r="H1" s="40" t="s">
        <v>133</v>
      </c>
      <c r="I1" s="40" t="s">
        <v>134</v>
      </c>
      <c r="J1" s="40" t="s">
        <v>135</v>
      </c>
      <c r="K1" s="40" t="s">
        <v>136</v>
      </c>
      <c r="L1" s="40" t="s">
        <v>137</v>
      </c>
      <c r="M1" s="40" t="s">
        <v>138</v>
      </c>
      <c r="N1" s="40" t="s">
        <v>139</v>
      </c>
      <c r="O1" s="40" t="s">
        <v>140</v>
      </c>
      <c r="P1" s="40" t="s">
        <v>141</v>
      </c>
      <c r="Q1" s="40" t="s">
        <v>142</v>
      </c>
      <c r="R1" s="40" t="s">
        <v>143</v>
      </c>
      <c r="S1" s="40" t="s">
        <v>144</v>
      </c>
      <c r="T1" s="40" t="s">
        <v>145</v>
      </c>
      <c r="U1" s="40" t="s">
        <v>146</v>
      </c>
      <c r="V1" s="40" t="s">
        <v>147</v>
      </c>
      <c r="W1" s="40" t="s">
        <v>148</v>
      </c>
      <c r="X1" s="40" t="s">
        <v>149</v>
      </c>
      <c r="Y1" s="40" t="s">
        <v>150</v>
      </c>
      <c r="Z1" s="40" t="s">
        <v>151</v>
      </c>
      <c r="AA1" s="40" t="s">
        <v>152</v>
      </c>
      <c r="AB1" s="40" t="s">
        <v>153</v>
      </c>
      <c r="AC1" s="40" t="s">
        <v>154</v>
      </c>
      <c r="AD1" s="40" t="s">
        <v>155</v>
      </c>
      <c r="AE1" s="40" t="s">
        <v>156</v>
      </c>
      <c r="AF1" s="40" t="s">
        <v>157</v>
      </c>
      <c r="AG1" s="40" t="s">
        <v>158</v>
      </c>
      <c r="AH1" s="40" t="s">
        <v>159</v>
      </c>
      <c r="AI1" s="40" t="s">
        <v>160</v>
      </c>
      <c r="AJ1" s="40" t="s">
        <v>161</v>
      </c>
      <c r="AK1" s="40" t="s">
        <v>162</v>
      </c>
      <c r="AL1" s="40" t="s">
        <v>163</v>
      </c>
      <c r="AM1" s="40" t="s">
        <v>164</v>
      </c>
      <c r="AN1" s="40" t="s">
        <v>165</v>
      </c>
      <c r="AO1" s="40" t="s">
        <v>166</v>
      </c>
      <c r="AP1" s="40" t="s">
        <v>167</v>
      </c>
      <c r="AQ1" s="40" t="s">
        <v>168</v>
      </c>
      <c r="AR1" s="40" t="s">
        <v>169</v>
      </c>
      <c r="AS1" s="40" t="s">
        <v>170</v>
      </c>
    </row>
    <row r="2" spans="1:45" s="3" customFormat="1" x14ac:dyDescent="0.2">
      <c r="A2" s="4"/>
      <c r="B2" s="40" t="s">
        <v>404</v>
      </c>
      <c r="C2" s="40" t="s">
        <v>405</v>
      </c>
      <c r="D2" s="40" t="s">
        <v>406</v>
      </c>
      <c r="E2" s="40" t="s">
        <v>407</v>
      </c>
      <c r="F2" s="40" t="s">
        <v>408</v>
      </c>
      <c r="G2" s="40" t="s">
        <v>409</v>
      </c>
      <c r="H2" s="40" t="s">
        <v>410</v>
      </c>
      <c r="I2" s="40" t="s">
        <v>411</v>
      </c>
      <c r="J2" s="40" t="s">
        <v>412</v>
      </c>
      <c r="K2" s="40" t="s">
        <v>413</v>
      </c>
      <c r="L2" s="40" t="s">
        <v>414</v>
      </c>
      <c r="M2" s="40" t="s">
        <v>415</v>
      </c>
      <c r="N2" s="40" t="s">
        <v>416</v>
      </c>
      <c r="O2" s="40" t="s">
        <v>417</v>
      </c>
      <c r="P2" s="40" t="s">
        <v>418</v>
      </c>
      <c r="Q2" s="40" t="s">
        <v>419</v>
      </c>
      <c r="R2" s="40" t="s">
        <v>420</v>
      </c>
      <c r="S2" s="40" t="s">
        <v>421</v>
      </c>
      <c r="T2" s="40" t="s">
        <v>422</v>
      </c>
      <c r="U2" s="40" t="s">
        <v>423</v>
      </c>
      <c r="V2" s="40" t="s">
        <v>424</v>
      </c>
      <c r="W2" s="40" t="s">
        <v>425</v>
      </c>
      <c r="X2" s="40" t="s">
        <v>426</v>
      </c>
      <c r="Y2" s="40" t="s">
        <v>427</v>
      </c>
      <c r="Z2" s="40" t="s">
        <v>428</v>
      </c>
      <c r="AA2" s="40" t="s">
        <v>429</v>
      </c>
      <c r="AB2" s="40" t="s">
        <v>430</v>
      </c>
      <c r="AC2" s="40" t="s">
        <v>431</v>
      </c>
      <c r="AD2" s="40" t="s">
        <v>432</v>
      </c>
      <c r="AE2" s="40" t="s">
        <v>433</v>
      </c>
      <c r="AF2" s="40" t="s">
        <v>434</v>
      </c>
      <c r="AG2" s="40" t="s">
        <v>435</v>
      </c>
      <c r="AH2" s="40" t="s">
        <v>436</v>
      </c>
      <c r="AI2" s="40" t="s">
        <v>437</v>
      </c>
      <c r="AJ2" s="40" t="s">
        <v>438</v>
      </c>
      <c r="AK2" s="40" t="s">
        <v>439</v>
      </c>
      <c r="AL2" s="40" t="s">
        <v>440</v>
      </c>
      <c r="AM2" s="40" t="s">
        <v>441</v>
      </c>
      <c r="AN2" s="40" t="s">
        <v>442</v>
      </c>
      <c r="AO2" s="40" t="s">
        <v>443</v>
      </c>
      <c r="AP2" s="40" t="s">
        <v>444</v>
      </c>
      <c r="AQ2" s="40" t="s">
        <v>445</v>
      </c>
      <c r="AR2" s="40" t="s">
        <v>446</v>
      </c>
      <c r="AS2" s="40" t="s">
        <v>447</v>
      </c>
    </row>
    <row r="3" spans="1:45" x14ac:dyDescent="0.2">
      <c r="A3" s="4">
        <v>1970.1</v>
      </c>
      <c r="B3" s="44">
        <f>chainindex!AK3/chainindex!AK4*newbrowser!B4</f>
        <v>178670.15810928794</v>
      </c>
      <c r="C3" s="44">
        <f t="shared" ref="C3:C66" si="0">B3/B4*C4</f>
        <v>178853.18160325915</v>
      </c>
      <c r="D3" s="44">
        <f t="shared" ref="D3:D66" si="1">C3/C4*D4</f>
        <v>178853.18160325915</v>
      </c>
      <c r="E3" s="44">
        <f t="shared" ref="E3:E66" si="2">D3/D4*E4</f>
        <v>178853.18160325915</v>
      </c>
      <c r="F3" s="44">
        <f t="shared" ref="F3:F66" si="3">E3/E4*F4</f>
        <v>178853.18160325915</v>
      </c>
      <c r="G3" s="44">
        <f t="shared" ref="G3:G66" si="4">F3/F4*G4</f>
        <v>178769.54628608565</v>
      </c>
      <c r="H3" s="44">
        <f t="shared" ref="H3:H66" si="5">G3/G4*H4</f>
        <v>178769.54628608565</v>
      </c>
      <c r="I3" s="44">
        <f t="shared" ref="I3:I66" si="6">H3/H4*I4</f>
        <v>178769.54628608565</v>
      </c>
      <c r="J3" s="44">
        <f t="shared" ref="J3:J66" si="7">I3/I4*J4</f>
        <v>178769.54628608565</v>
      </c>
      <c r="K3" s="44">
        <f t="shared" ref="K3:K66" si="8">J3/J4*K4</f>
        <v>178769.54628608565</v>
      </c>
      <c r="L3" s="44">
        <f t="shared" ref="L3:L66" si="9">K3/K4*L4</f>
        <v>178769.54628608565</v>
      </c>
      <c r="M3" s="44">
        <f t="shared" ref="M3:M66" si="10">L3/L4*M4</f>
        <v>178769.54728547417</v>
      </c>
      <c r="N3" s="44">
        <f t="shared" ref="N3:N66" si="11">M3/M4*N4</f>
        <v>178787.83609315843</v>
      </c>
      <c r="O3" s="44">
        <f t="shared" ref="O3:O66" si="12">N3/N4*O4</f>
        <v>178787.83609315843</v>
      </c>
      <c r="P3" s="44">
        <f t="shared" ref="P3:P66" si="13">O3/O4*P4</f>
        <v>178787.83609315843</v>
      </c>
      <c r="Q3" s="44">
        <f t="shared" ref="Q3:Q66" si="14">P3/P4*Q4</f>
        <v>178787.83609315843</v>
      </c>
      <c r="R3" s="44">
        <f t="shared" ref="R3:R66" si="15">Q3/Q4*R4</f>
        <v>178797.87994655879</v>
      </c>
      <c r="S3" s="44">
        <f t="shared" ref="S3:S66" si="16">R3/R4*S4</f>
        <v>178797.87994655879</v>
      </c>
      <c r="T3" s="44">
        <f t="shared" ref="T3:T66" si="17">S3/S4*T4</f>
        <v>178797.87994655879</v>
      </c>
      <c r="U3" s="44">
        <f t="shared" ref="U3:U66" si="18">T3/T4*U4</f>
        <v>178797.87994655879</v>
      </c>
      <c r="V3" s="44">
        <f t="shared" ref="V3:V66" si="19">U3/U4*V4</f>
        <v>189680.4200906115</v>
      </c>
      <c r="W3" s="44">
        <f t="shared" ref="W3:W66" si="20">V3/V4*W4</f>
        <v>189680.4200906115</v>
      </c>
      <c r="X3" s="44">
        <f t="shared" ref="X3:X66" si="21">W3/W4*X4</f>
        <v>189680.4200906115</v>
      </c>
      <c r="Y3" s="44">
        <f t="shared" ref="Y3:Y66" si="22">X3/X4*Y4</f>
        <v>189680.4200906115</v>
      </c>
      <c r="Z3" s="44">
        <f t="shared" ref="Z3:Z66" si="23">Y3/Y4*Z4</f>
        <v>189528.41311526776</v>
      </c>
      <c r="AA3" s="44">
        <f t="shared" ref="AA3:AA66" si="24">Z3/Z4*AA4</f>
        <v>189528.41311526776</v>
      </c>
      <c r="AB3" s="44">
        <f t="shared" ref="AB3:AB66" si="25">AA3/AA4*AB4</f>
        <v>189528.41311526776</v>
      </c>
      <c r="AC3" s="44">
        <f t="shared" ref="AC3:AC66" si="26">AB3/AB4*AC4</f>
        <v>189528.41311526776</v>
      </c>
      <c r="AD3" s="44">
        <f t="shared" ref="AD3:AD66" si="27">AC3/AC4*AD4</f>
        <v>189797.9481662222</v>
      </c>
      <c r="AE3" s="44">
        <f t="shared" ref="AE3:AE66" si="28">AD3/AD4*AE4</f>
        <v>189797.9481662222</v>
      </c>
      <c r="AF3" s="44">
        <f t="shared" ref="AF3:AF66" si="29">AE3/AE4*AF4</f>
        <v>189797.9481662222</v>
      </c>
      <c r="AG3" s="44">
        <f t="shared" ref="AG3:AG66" si="30">AF3/AF4*AG4</f>
        <v>189797.9481662222</v>
      </c>
      <c r="AH3" s="44">
        <f t="shared" ref="AH3:AH66" si="31">AG3/AG4*AH4</f>
        <v>189855.16315201044</v>
      </c>
      <c r="AI3" s="44">
        <f t="shared" ref="AI3:AI66" si="32">AH3/AH4*AI4</f>
        <v>189855.16315201044</v>
      </c>
      <c r="AJ3" s="44">
        <f t="shared" ref="AJ3:AJ66" si="33">AI3/AI4*AJ4</f>
        <v>189855.16315201044</v>
      </c>
      <c r="AK3" s="44">
        <f t="shared" ref="AK3:AK66" si="34">AJ3/AJ4*AK4</f>
        <v>189855.16315201044</v>
      </c>
      <c r="AL3" s="44">
        <f t="shared" ref="AL3:AL66" si="35">AK3/AK4*AL4</f>
        <v>189666.32871419884</v>
      </c>
      <c r="AM3" s="44">
        <f t="shared" ref="AM3:AM66" si="36">AL3/AL4*AM4</f>
        <v>189666.32871419884</v>
      </c>
      <c r="AN3" s="44">
        <f t="shared" ref="AN3:AN66" si="37">AM3/AM4*AN4</f>
        <v>189666.32871419884</v>
      </c>
      <c r="AO3" s="44">
        <f t="shared" ref="AO3:AO66" si="38">AN3/AN4*AO4</f>
        <v>189666.32871419884</v>
      </c>
      <c r="AP3" s="44">
        <f t="shared" ref="AP3:AP66" si="39">AO3/AO4*AP4</f>
        <v>201349.27902625012</v>
      </c>
      <c r="AQ3" s="44">
        <f t="shared" ref="AQ3:AQ66" si="40">AP3/AP4*AQ4</f>
        <v>201349.27902625012</v>
      </c>
      <c r="AR3" s="44">
        <f t="shared" ref="AR3:AR66" si="41">AQ3/AQ4*AR4</f>
        <v>201349.27902625012</v>
      </c>
      <c r="AS3" s="44">
        <f t="shared" ref="AS3:AS66" si="42">AR3/AR4*AS4</f>
        <v>201349.27902625012</v>
      </c>
    </row>
    <row r="4" spans="1:45" x14ac:dyDescent="0.2">
      <c r="A4" s="4">
        <v>1970.2</v>
      </c>
      <c r="B4" s="44">
        <f>chainindex!AK4/chainindex!AK5*newbrowser!B5</f>
        <v>179974.71251926917</v>
      </c>
      <c r="C4" s="44">
        <f t="shared" si="0"/>
        <v>180159.07235339208</v>
      </c>
      <c r="D4" s="44">
        <f t="shared" si="1"/>
        <v>180159.07235339208</v>
      </c>
      <c r="E4" s="44">
        <f t="shared" si="2"/>
        <v>180159.07235339208</v>
      </c>
      <c r="F4" s="44">
        <f t="shared" si="3"/>
        <v>180159.07235339208</v>
      </c>
      <c r="G4" s="44">
        <f t="shared" si="4"/>
        <v>180074.82637564157</v>
      </c>
      <c r="H4" s="44">
        <f t="shared" si="5"/>
        <v>180074.82637564157</v>
      </c>
      <c r="I4" s="44">
        <f t="shared" si="6"/>
        <v>180074.82637564157</v>
      </c>
      <c r="J4" s="44">
        <f t="shared" si="7"/>
        <v>180074.82637564157</v>
      </c>
      <c r="K4" s="44">
        <f t="shared" si="8"/>
        <v>180074.82637564157</v>
      </c>
      <c r="L4" s="44">
        <f t="shared" si="9"/>
        <v>180074.82637564157</v>
      </c>
      <c r="M4" s="44">
        <f t="shared" si="10"/>
        <v>180074.82738232709</v>
      </c>
      <c r="N4" s="44">
        <f t="shared" si="11"/>
        <v>180093.24972515213</v>
      </c>
      <c r="O4" s="44">
        <f t="shared" si="12"/>
        <v>180093.24972515213</v>
      </c>
      <c r="P4" s="44">
        <f t="shared" si="13"/>
        <v>180093.24972515213</v>
      </c>
      <c r="Q4" s="44">
        <f t="shared" si="14"/>
        <v>180093.24972515213</v>
      </c>
      <c r="R4" s="44">
        <f t="shared" si="15"/>
        <v>180103.36691342489</v>
      </c>
      <c r="S4" s="44">
        <f t="shared" si="16"/>
        <v>180103.36691342489</v>
      </c>
      <c r="T4" s="44">
        <f t="shared" si="17"/>
        <v>180103.36691342489</v>
      </c>
      <c r="U4" s="44">
        <f t="shared" si="18"/>
        <v>180103.36691342489</v>
      </c>
      <c r="V4" s="44">
        <f t="shared" si="19"/>
        <v>191065.36557414851</v>
      </c>
      <c r="W4" s="44">
        <f t="shared" si="20"/>
        <v>191065.36557414851</v>
      </c>
      <c r="X4" s="44">
        <f t="shared" si="21"/>
        <v>191065.36557414851</v>
      </c>
      <c r="Y4" s="44">
        <f t="shared" si="22"/>
        <v>191065.36557414851</v>
      </c>
      <c r="Z4" s="44">
        <f t="shared" si="23"/>
        <v>190912.24872476576</v>
      </c>
      <c r="AA4" s="44">
        <f t="shared" si="24"/>
        <v>190912.24872476576</v>
      </c>
      <c r="AB4" s="44">
        <f t="shared" si="25"/>
        <v>190912.24872476576</v>
      </c>
      <c r="AC4" s="44">
        <f t="shared" si="26"/>
        <v>190912.24872476576</v>
      </c>
      <c r="AD4" s="44">
        <f t="shared" si="27"/>
        <v>191183.75177722133</v>
      </c>
      <c r="AE4" s="44">
        <f t="shared" si="28"/>
        <v>191183.75177722133</v>
      </c>
      <c r="AF4" s="44">
        <f t="shared" si="29"/>
        <v>191183.75177722133</v>
      </c>
      <c r="AG4" s="44">
        <f t="shared" si="30"/>
        <v>191183.75177722133</v>
      </c>
      <c r="AH4" s="44">
        <f t="shared" si="31"/>
        <v>191241.38451638719</v>
      </c>
      <c r="AI4" s="44">
        <f t="shared" si="32"/>
        <v>191241.38451638719</v>
      </c>
      <c r="AJ4" s="44">
        <f t="shared" si="33"/>
        <v>191241.38451638719</v>
      </c>
      <c r="AK4" s="44">
        <f t="shared" si="34"/>
        <v>191241.38451638719</v>
      </c>
      <c r="AL4" s="44">
        <f t="shared" si="35"/>
        <v>191051.17131000443</v>
      </c>
      <c r="AM4" s="44">
        <f t="shared" si="36"/>
        <v>191051.17131000443</v>
      </c>
      <c r="AN4" s="44">
        <f t="shared" si="37"/>
        <v>191051.17131000443</v>
      </c>
      <c r="AO4" s="44">
        <f t="shared" si="38"/>
        <v>191051.17131000443</v>
      </c>
      <c r="AP4" s="44">
        <f t="shared" si="39"/>
        <v>202819.42430781174</v>
      </c>
      <c r="AQ4" s="44">
        <f t="shared" si="40"/>
        <v>202819.42430781174</v>
      </c>
      <c r="AR4" s="44">
        <f t="shared" si="41"/>
        <v>202819.42430781174</v>
      </c>
      <c r="AS4" s="44">
        <f t="shared" si="42"/>
        <v>202819.42430781174</v>
      </c>
    </row>
    <row r="5" spans="1:45" x14ac:dyDescent="0.2">
      <c r="A5" s="4">
        <v>1970.3</v>
      </c>
      <c r="B5" s="44">
        <f>chainindex!AK5/chainindex!AK6*newbrowser!B6</f>
        <v>183586.52008962963</v>
      </c>
      <c r="C5" s="44">
        <f t="shared" si="0"/>
        <v>183774.57973377159</v>
      </c>
      <c r="D5" s="44">
        <f t="shared" si="1"/>
        <v>183774.57973377159</v>
      </c>
      <c r="E5" s="44">
        <f t="shared" si="2"/>
        <v>183774.57973377159</v>
      </c>
      <c r="F5" s="44">
        <f t="shared" si="3"/>
        <v>183774.57973377159</v>
      </c>
      <c r="G5" s="44">
        <f t="shared" si="4"/>
        <v>183688.64307261366</v>
      </c>
      <c r="H5" s="44">
        <f t="shared" si="5"/>
        <v>183688.64307261366</v>
      </c>
      <c r="I5" s="44">
        <f t="shared" si="6"/>
        <v>183688.64307261366</v>
      </c>
      <c r="J5" s="44">
        <f t="shared" si="7"/>
        <v>183688.64307261366</v>
      </c>
      <c r="K5" s="44">
        <f t="shared" si="8"/>
        <v>183688.64307261366</v>
      </c>
      <c r="L5" s="44">
        <f t="shared" si="9"/>
        <v>183688.64307261366</v>
      </c>
      <c r="M5" s="44">
        <f t="shared" si="10"/>
        <v>183688.64409950178</v>
      </c>
      <c r="N5" s="44">
        <f t="shared" si="11"/>
        <v>183707.43614958372</v>
      </c>
      <c r="O5" s="44">
        <f t="shared" si="12"/>
        <v>183707.43614958372</v>
      </c>
      <c r="P5" s="44">
        <f t="shared" si="13"/>
        <v>183707.43614958372</v>
      </c>
      <c r="Q5" s="44">
        <f t="shared" si="14"/>
        <v>183707.43614958372</v>
      </c>
      <c r="R5" s="44">
        <f t="shared" si="15"/>
        <v>183717.75637380907</v>
      </c>
      <c r="S5" s="44">
        <f t="shared" si="16"/>
        <v>183717.75637380907</v>
      </c>
      <c r="T5" s="44">
        <f t="shared" si="17"/>
        <v>183717.75637380907</v>
      </c>
      <c r="U5" s="44">
        <f t="shared" si="18"/>
        <v>183717.75637380907</v>
      </c>
      <c r="V5" s="44">
        <f t="shared" si="19"/>
        <v>194899.74499420461</v>
      </c>
      <c r="W5" s="44">
        <f t="shared" si="20"/>
        <v>194899.74499420461</v>
      </c>
      <c r="X5" s="44">
        <f t="shared" si="21"/>
        <v>194899.74499420461</v>
      </c>
      <c r="Y5" s="44">
        <f t="shared" si="22"/>
        <v>194899.74499420461</v>
      </c>
      <c r="Z5" s="44">
        <f t="shared" si="23"/>
        <v>194743.55533204717</v>
      </c>
      <c r="AA5" s="44">
        <f t="shared" si="24"/>
        <v>194743.55533204717</v>
      </c>
      <c r="AB5" s="44">
        <f t="shared" si="25"/>
        <v>194743.55533204717</v>
      </c>
      <c r="AC5" s="44">
        <f t="shared" si="26"/>
        <v>194743.55533204717</v>
      </c>
      <c r="AD5" s="44">
        <f t="shared" si="27"/>
        <v>195020.50702096123</v>
      </c>
      <c r="AE5" s="44">
        <f t="shared" si="28"/>
        <v>195020.50702096123</v>
      </c>
      <c r="AF5" s="44">
        <f t="shared" si="29"/>
        <v>195020.50702096123</v>
      </c>
      <c r="AG5" s="44">
        <f t="shared" si="30"/>
        <v>195020.50702096123</v>
      </c>
      <c r="AH5" s="44">
        <f t="shared" si="31"/>
        <v>195079.29635796635</v>
      </c>
      <c r="AI5" s="44">
        <f t="shared" si="32"/>
        <v>195079.29635796635</v>
      </c>
      <c r="AJ5" s="44">
        <f t="shared" si="33"/>
        <v>195079.29635796635</v>
      </c>
      <c r="AK5" s="44">
        <f t="shared" si="34"/>
        <v>195079.29635796635</v>
      </c>
      <c r="AL5" s="44">
        <f t="shared" si="35"/>
        <v>194885.26587364948</v>
      </c>
      <c r="AM5" s="44">
        <f t="shared" si="36"/>
        <v>194885.26587364948</v>
      </c>
      <c r="AN5" s="44">
        <f t="shared" si="37"/>
        <v>194885.26587364948</v>
      </c>
      <c r="AO5" s="44">
        <f t="shared" si="38"/>
        <v>194885.26587364948</v>
      </c>
      <c r="AP5" s="44">
        <f t="shared" si="39"/>
        <v>206889.68907932891</v>
      </c>
      <c r="AQ5" s="44">
        <f t="shared" si="40"/>
        <v>206889.68907932891</v>
      </c>
      <c r="AR5" s="44">
        <f t="shared" si="41"/>
        <v>206889.68907932891</v>
      </c>
      <c r="AS5" s="44">
        <f t="shared" si="42"/>
        <v>206889.68907932891</v>
      </c>
    </row>
    <row r="6" spans="1:45" x14ac:dyDescent="0.2">
      <c r="A6" s="4">
        <v>1970.4</v>
      </c>
      <c r="B6" s="44">
        <f>chainindex!AK6/chainindex!AK7*newbrowser!B7</f>
        <v>183791.24397756482</v>
      </c>
      <c r="C6" s="44">
        <f t="shared" si="0"/>
        <v>183979.51333373517</v>
      </c>
      <c r="D6" s="44">
        <f t="shared" si="1"/>
        <v>183979.51333373517</v>
      </c>
      <c r="E6" s="44">
        <f t="shared" si="2"/>
        <v>183979.51333373517</v>
      </c>
      <c r="F6" s="44">
        <f t="shared" si="3"/>
        <v>183979.51333373517</v>
      </c>
      <c r="G6" s="44">
        <f t="shared" si="4"/>
        <v>183893.48084153593</v>
      </c>
      <c r="H6" s="44">
        <f t="shared" si="5"/>
        <v>183893.48084153593</v>
      </c>
      <c r="I6" s="44">
        <f t="shared" si="6"/>
        <v>183893.48084153593</v>
      </c>
      <c r="J6" s="44">
        <f t="shared" si="7"/>
        <v>183893.48084153593</v>
      </c>
      <c r="K6" s="44">
        <f t="shared" si="8"/>
        <v>183893.48084153593</v>
      </c>
      <c r="L6" s="44">
        <f t="shared" si="9"/>
        <v>183893.48084153593</v>
      </c>
      <c r="M6" s="44">
        <f t="shared" si="10"/>
        <v>183893.48186956916</v>
      </c>
      <c r="N6" s="44">
        <f t="shared" si="11"/>
        <v>183912.2948753376</v>
      </c>
      <c r="O6" s="44">
        <f t="shared" si="12"/>
        <v>183912.2948753376</v>
      </c>
      <c r="P6" s="44">
        <f t="shared" si="13"/>
        <v>183912.2948753376</v>
      </c>
      <c r="Q6" s="44">
        <f t="shared" si="14"/>
        <v>183912.2948753376</v>
      </c>
      <c r="R6" s="44">
        <f t="shared" si="15"/>
        <v>183922.6266080137</v>
      </c>
      <c r="S6" s="44">
        <f t="shared" si="16"/>
        <v>183922.6266080137</v>
      </c>
      <c r="T6" s="44">
        <f t="shared" si="17"/>
        <v>183922.6266080137</v>
      </c>
      <c r="U6" s="44">
        <f t="shared" si="18"/>
        <v>183922.6266080137</v>
      </c>
      <c r="V6" s="44">
        <f t="shared" si="19"/>
        <v>195117.08466344237</v>
      </c>
      <c r="W6" s="44">
        <f t="shared" si="20"/>
        <v>195117.08466344237</v>
      </c>
      <c r="X6" s="44">
        <f t="shared" si="21"/>
        <v>195117.08466344237</v>
      </c>
      <c r="Y6" s="44">
        <f t="shared" si="22"/>
        <v>195117.08466344237</v>
      </c>
      <c r="Z6" s="44">
        <f t="shared" si="23"/>
        <v>194960.72082861213</v>
      </c>
      <c r="AA6" s="44">
        <f t="shared" si="24"/>
        <v>194960.72082861213</v>
      </c>
      <c r="AB6" s="44">
        <f t="shared" si="25"/>
        <v>194960.72082861213</v>
      </c>
      <c r="AC6" s="44">
        <f t="shared" si="26"/>
        <v>194960.72082861213</v>
      </c>
      <c r="AD6" s="44">
        <f t="shared" si="27"/>
        <v>195237.98135624974</v>
      </c>
      <c r="AE6" s="44">
        <f t="shared" si="28"/>
        <v>195237.98135624974</v>
      </c>
      <c r="AF6" s="44">
        <f t="shared" si="29"/>
        <v>195237.98135624974</v>
      </c>
      <c r="AG6" s="44">
        <f t="shared" si="30"/>
        <v>195237.98135624974</v>
      </c>
      <c r="AH6" s="44">
        <f t="shared" si="31"/>
        <v>195296.83625134506</v>
      </c>
      <c r="AI6" s="44">
        <f t="shared" si="32"/>
        <v>195296.83625134506</v>
      </c>
      <c r="AJ6" s="44">
        <f t="shared" si="33"/>
        <v>195296.83625134506</v>
      </c>
      <c r="AK6" s="44">
        <f t="shared" si="34"/>
        <v>195296.83625134506</v>
      </c>
      <c r="AL6" s="44">
        <f t="shared" si="35"/>
        <v>195102.58939670259</v>
      </c>
      <c r="AM6" s="44">
        <f t="shared" si="36"/>
        <v>195102.58939670259</v>
      </c>
      <c r="AN6" s="44">
        <f t="shared" si="37"/>
        <v>195102.58939670259</v>
      </c>
      <c r="AO6" s="44">
        <f t="shared" si="38"/>
        <v>195102.58939670259</v>
      </c>
      <c r="AP6" s="44">
        <f t="shared" si="39"/>
        <v>207120.39916360605</v>
      </c>
      <c r="AQ6" s="44">
        <f t="shared" si="40"/>
        <v>207120.39916360605</v>
      </c>
      <c r="AR6" s="44">
        <f t="shared" si="41"/>
        <v>207120.39916360605</v>
      </c>
      <c r="AS6" s="44">
        <f t="shared" si="42"/>
        <v>207120.39916360605</v>
      </c>
    </row>
    <row r="7" spans="1:45" x14ac:dyDescent="0.2">
      <c r="A7" s="4">
        <v>1971.1</v>
      </c>
      <c r="B7" s="44">
        <f>chainindex!AK7/chainindex!AK8*newbrowser!B8</f>
        <v>182830.38660572298</v>
      </c>
      <c r="C7" s="44">
        <f t="shared" si="0"/>
        <v>183017.67169303016</v>
      </c>
      <c r="D7" s="44">
        <f t="shared" si="1"/>
        <v>183017.67169303016</v>
      </c>
      <c r="E7" s="44">
        <f t="shared" si="2"/>
        <v>183017.67169303016</v>
      </c>
      <c r="F7" s="44">
        <f t="shared" si="3"/>
        <v>183017.67169303016</v>
      </c>
      <c r="G7" s="44">
        <f t="shared" si="4"/>
        <v>182932.08897717803</v>
      </c>
      <c r="H7" s="44">
        <f t="shared" si="5"/>
        <v>182932.08897717803</v>
      </c>
      <c r="I7" s="44">
        <f t="shared" si="6"/>
        <v>182932.08897717803</v>
      </c>
      <c r="J7" s="44">
        <f t="shared" si="7"/>
        <v>182932.08897717803</v>
      </c>
      <c r="K7" s="44">
        <f t="shared" si="8"/>
        <v>182932.08897717803</v>
      </c>
      <c r="L7" s="44">
        <f t="shared" si="9"/>
        <v>182932.08897717803</v>
      </c>
      <c r="M7" s="44">
        <f t="shared" si="10"/>
        <v>182932.08999983672</v>
      </c>
      <c r="N7" s="44">
        <f t="shared" si="11"/>
        <v>182950.80465154385</v>
      </c>
      <c r="O7" s="44">
        <f t="shared" si="12"/>
        <v>182950.80465154385</v>
      </c>
      <c r="P7" s="44">
        <f t="shared" si="13"/>
        <v>182950.80465154385</v>
      </c>
      <c r="Q7" s="44">
        <f t="shared" si="14"/>
        <v>182950.80465154385</v>
      </c>
      <c r="R7" s="44">
        <f t="shared" si="15"/>
        <v>182961.0823701043</v>
      </c>
      <c r="S7" s="44">
        <f t="shared" si="16"/>
        <v>182961.0823701043</v>
      </c>
      <c r="T7" s="44">
        <f t="shared" si="17"/>
        <v>182961.0823701043</v>
      </c>
      <c r="U7" s="44">
        <f t="shared" si="18"/>
        <v>182961.0823701043</v>
      </c>
      <c r="V7" s="44">
        <f t="shared" si="19"/>
        <v>194097.01599687387</v>
      </c>
      <c r="W7" s="44">
        <f t="shared" si="20"/>
        <v>194097.01599687387</v>
      </c>
      <c r="X7" s="44">
        <f t="shared" si="21"/>
        <v>194097.01599687387</v>
      </c>
      <c r="Y7" s="44">
        <f t="shared" si="22"/>
        <v>194097.01599687387</v>
      </c>
      <c r="Z7" s="44">
        <f t="shared" si="23"/>
        <v>193941.46962940571</v>
      </c>
      <c r="AA7" s="44">
        <f t="shared" si="24"/>
        <v>193941.46962940571</v>
      </c>
      <c r="AB7" s="44">
        <f t="shared" si="25"/>
        <v>193941.46962940571</v>
      </c>
      <c r="AC7" s="44">
        <f t="shared" si="26"/>
        <v>193941.46962940571</v>
      </c>
      <c r="AD7" s="44">
        <f t="shared" si="27"/>
        <v>194217.28064391017</v>
      </c>
      <c r="AE7" s="44">
        <f t="shared" si="28"/>
        <v>194217.28064391017</v>
      </c>
      <c r="AF7" s="44">
        <f t="shared" si="29"/>
        <v>194217.28064391017</v>
      </c>
      <c r="AG7" s="44">
        <f t="shared" si="30"/>
        <v>194217.28064391017</v>
      </c>
      <c r="AH7" s="44">
        <f t="shared" si="31"/>
        <v>194275.82784665521</v>
      </c>
      <c r="AI7" s="44">
        <f t="shared" si="32"/>
        <v>194275.82784665521</v>
      </c>
      <c r="AJ7" s="44">
        <f t="shared" si="33"/>
        <v>194275.82784665521</v>
      </c>
      <c r="AK7" s="44">
        <f t="shared" si="34"/>
        <v>194275.82784665521</v>
      </c>
      <c r="AL7" s="44">
        <f t="shared" si="35"/>
        <v>194082.59651113217</v>
      </c>
      <c r="AM7" s="44">
        <f t="shared" si="36"/>
        <v>194082.59651113217</v>
      </c>
      <c r="AN7" s="44">
        <f t="shared" si="37"/>
        <v>194082.59651113217</v>
      </c>
      <c r="AO7" s="44">
        <f t="shared" si="38"/>
        <v>194082.59651113217</v>
      </c>
      <c r="AP7" s="44">
        <f t="shared" si="39"/>
        <v>206037.57738119582</v>
      </c>
      <c r="AQ7" s="44">
        <f t="shared" si="40"/>
        <v>206037.57738119582</v>
      </c>
      <c r="AR7" s="44">
        <f t="shared" si="41"/>
        <v>206037.57738119582</v>
      </c>
      <c r="AS7" s="44">
        <f t="shared" si="42"/>
        <v>206037.57738119582</v>
      </c>
    </row>
    <row r="8" spans="1:45" x14ac:dyDescent="0.2">
      <c r="A8" s="4">
        <v>1971.2</v>
      </c>
      <c r="B8" s="44">
        <f>chainindex!AK8/chainindex!AK9*newbrowser!B9</f>
        <v>183601.46343911393</v>
      </c>
      <c r="C8" s="44">
        <f t="shared" si="0"/>
        <v>183789.53839070321</v>
      </c>
      <c r="D8" s="44">
        <f t="shared" si="1"/>
        <v>183789.53839070321</v>
      </c>
      <c r="E8" s="44">
        <f t="shared" si="2"/>
        <v>183789.53839070321</v>
      </c>
      <c r="F8" s="44">
        <f t="shared" si="3"/>
        <v>183789.53839070321</v>
      </c>
      <c r="G8" s="44">
        <f t="shared" si="4"/>
        <v>183703.59473457874</v>
      </c>
      <c r="H8" s="44">
        <f t="shared" si="5"/>
        <v>183703.59473457874</v>
      </c>
      <c r="I8" s="44">
        <f t="shared" si="6"/>
        <v>183703.59473457874</v>
      </c>
      <c r="J8" s="44">
        <f t="shared" si="7"/>
        <v>183703.59473457874</v>
      </c>
      <c r="K8" s="44">
        <f t="shared" si="8"/>
        <v>183703.59473457874</v>
      </c>
      <c r="L8" s="44">
        <f t="shared" si="9"/>
        <v>183703.59473457874</v>
      </c>
      <c r="M8" s="44">
        <f t="shared" si="10"/>
        <v>183703.59576155044</v>
      </c>
      <c r="N8" s="44">
        <f t="shared" si="11"/>
        <v>183722.38934124456</v>
      </c>
      <c r="O8" s="44">
        <f t="shared" si="12"/>
        <v>183722.38934124456</v>
      </c>
      <c r="P8" s="44">
        <f t="shared" si="13"/>
        <v>183722.38934124456</v>
      </c>
      <c r="Q8" s="44">
        <f t="shared" si="14"/>
        <v>183722.38934124456</v>
      </c>
      <c r="R8" s="44">
        <f t="shared" si="15"/>
        <v>183732.71040550279</v>
      </c>
      <c r="S8" s="44">
        <f t="shared" si="16"/>
        <v>183732.71040550279</v>
      </c>
      <c r="T8" s="44">
        <f t="shared" si="17"/>
        <v>183732.71040550279</v>
      </c>
      <c r="U8" s="44">
        <f t="shared" si="18"/>
        <v>183732.71040550279</v>
      </c>
      <c r="V8" s="44">
        <f t="shared" si="19"/>
        <v>194915.60920363799</v>
      </c>
      <c r="W8" s="44">
        <f t="shared" si="20"/>
        <v>194915.60920363799</v>
      </c>
      <c r="X8" s="44">
        <f t="shared" si="21"/>
        <v>194915.60920363799</v>
      </c>
      <c r="Y8" s="44">
        <f t="shared" si="22"/>
        <v>194915.60920363799</v>
      </c>
      <c r="Z8" s="44">
        <f t="shared" si="23"/>
        <v>194759.40682814675</v>
      </c>
      <c r="AA8" s="44">
        <f t="shared" si="24"/>
        <v>194759.40682814675</v>
      </c>
      <c r="AB8" s="44">
        <f t="shared" si="25"/>
        <v>194759.40682814675</v>
      </c>
      <c r="AC8" s="44">
        <f t="shared" si="26"/>
        <v>194759.40682814675</v>
      </c>
      <c r="AD8" s="44">
        <f t="shared" si="27"/>
        <v>195036.38106003334</v>
      </c>
      <c r="AE8" s="44">
        <f t="shared" si="28"/>
        <v>195036.38106003334</v>
      </c>
      <c r="AF8" s="44">
        <f t="shared" si="29"/>
        <v>195036.38106003334</v>
      </c>
      <c r="AG8" s="44">
        <f t="shared" si="30"/>
        <v>195036.38106003334</v>
      </c>
      <c r="AH8" s="44">
        <f t="shared" si="31"/>
        <v>195095.17518230053</v>
      </c>
      <c r="AI8" s="44">
        <f t="shared" si="32"/>
        <v>195095.17518230053</v>
      </c>
      <c r="AJ8" s="44">
        <f t="shared" si="33"/>
        <v>195095.17518230053</v>
      </c>
      <c r="AK8" s="44">
        <f t="shared" si="34"/>
        <v>195095.17518230053</v>
      </c>
      <c r="AL8" s="44">
        <f t="shared" si="35"/>
        <v>194901.12890452924</v>
      </c>
      <c r="AM8" s="44">
        <f t="shared" si="36"/>
        <v>194901.12890452924</v>
      </c>
      <c r="AN8" s="44">
        <f t="shared" si="37"/>
        <v>194901.12890452924</v>
      </c>
      <c r="AO8" s="44">
        <f t="shared" si="38"/>
        <v>194901.12890452924</v>
      </c>
      <c r="AP8" s="44">
        <f t="shared" si="39"/>
        <v>206906.52923146586</v>
      </c>
      <c r="AQ8" s="44">
        <f t="shared" si="40"/>
        <v>206906.52923146586</v>
      </c>
      <c r="AR8" s="44">
        <f t="shared" si="41"/>
        <v>206906.52923146586</v>
      </c>
      <c r="AS8" s="44">
        <f t="shared" si="42"/>
        <v>206906.52923146586</v>
      </c>
    </row>
    <row r="9" spans="1:45" x14ac:dyDescent="0.2">
      <c r="A9" s="4">
        <v>1971.3</v>
      </c>
      <c r="B9" s="44">
        <f>chainindex!AK9/chainindex!AK10*newbrowser!B10</f>
        <v>186291.26634629178</v>
      </c>
      <c r="C9" s="44">
        <f t="shared" si="0"/>
        <v>186482.09663839999</v>
      </c>
      <c r="D9" s="44">
        <f t="shared" si="1"/>
        <v>186482.09663839999</v>
      </c>
      <c r="E9" s="44">
        <f t="shared" si="2"/>
        <v>186482.09663839999</v>
      </c>
      <c r="F9" s="44">
        <f t="shared" si="3"/>
        <v>186482.09663839999</v>
      </c>
      <c r="G9" s="44">
        <f t="shared" si="4"/>
        <v>186394.89388830226</v>
      </c>
      <c r="H9" s="44">
        <f t="shared" si="5"/>
        <v>186394.89388830226</v>
      </c>
      <c r="I9" s="44">
        <f t="shared" si="6"/>
        <v>186394.89388830226</v>
      </c>
      <c r="J9" s="44">
        <f t="shared" si="7"/>
        <v>186394.89388830226</v>
      </c>
      <c r="K9" s="44">
        <f t="shared" si="8"/>
        <v>186394.89388830226</v>
      </c>
      <c r="L9" s="44">
        <f t="shared" si="9"/>
        <v>186394.89388830226</v>
      </c>
      <c r="M9" s="44">
        <f t="shared" si="10"/>
        <v>186394.89493031934</v>
      </c>
      <c r="N9" s="44">
        <f t="shared" si="11"/>
        <v>186413.96384020065</v>
      </c>
      <c r="O9" s="44">
        <f t="shared" si="12"/>
        <v>186413.96384020065</v>
      </c>
      <c r="P9" s="44">
        <f t="shared" si="13"/>
        <v>186413.96384020065</v>
      </c>
      <c r="Q9" s="44">
        <f t="shared" si="14"/>
        <v>186413.96384020065</v>
      </c>
      <c r="R9" s="44">
        <f t="shared" si="15"/>
        <v>186424.43611038136</v>
      </c>
      <c r="S9" s="44">
        <f t="shared" si="16"/>
        <v>186424.43611038136</v>
      </c>
      <c r="T9" s="44">
        <f t="shared" si="17"/>
        <v>186424.43611038136</v>
      </c>
      <c r="U9" s="44">
        <f t="shared" si="18"/>
        <v>186424.43611038136</v>
      </c>
      <c r="V9" s="44">
        <f t="shared" si="19"/>
        <v>197771.16690165247</v>
      </c>
      <c r="W9" s="44">
        <f t="shared" si="20"/>
        <v>197771.16690165247</v>
      </c>
      <c r="X9" s="44">
        <f t="shared" si="21"/>
        <v>197771.16690165247</v>
      </c>
      <c r="Y9" s="44">
        <f t="shared" si="22"/>
        <v>197771.16690165247</v>
      </c>
      <c r="Z9" s="44">
        <f t="shared" si="23"/>
        <v>197612.6761260808</v>
      </c>
      <c r="AA9" s="44">
        <f t="shared" si="24"/>
        <v>197612.6761260808</v>
      </c>
      <c r="AB9" s="44">
        <f t="shared" si="25"/>
        <v>197612.6761260808</v>
      </c>
      <c r="AC9" s="44">
        <f t="shared" si="26"/>
        <v>197612.6761260808</v>
      </c>
      <c r="AD9" s="44">
        <f t="shared" si="27"/>
        <v>197893.7080930213</v>
      </c>
      <c r="AE9" s="44">
        <f t="shared" si="28"/>
        <v>197893.7080930213</v>
      </c>
      <c r="AF9" s="44">
        <f t="shared" si="29"/>
        <v>197893.7080930213</v>
      </c>
      <c r="AG9" s="44">
        <f t="shared" si="30"/>
        <v>197893.7080930213</v>
      </c>
      <c r="AH9" s="44">
        <f t="shared" si="31"/>
        <v>197953.36356245881</v>
      </c>
      <c r="AI9" s="44">
        <f t="shared" si="32"/>
        <v>197953.36356245881</v>
      </c>
      <c r="AJ9" s="44">
        <f t="shared" si="33"/>
        <v>197953.36356245881</v>
      </c>
      <c r="AK9" s="44">
        <f t="shared" si="34"/>
        <v>197953.36356245881</v>
      </c>
      <c r="AL9" s="44">
        <f t="shared" si="35"/>
        <v>197756.47446289132</v>
      </c>
      <c r="AM9" s="44">
        <f t="shared" si="36"/>
        <v>197756.47446289132</v>
      </c>
      <c r="AN9" s="44">
        <f t="shared" si="37"/>
        <v>197756.47446289132</v>
      </c>
      <c r="AO9" s="44">
        <f t="shared" si="38"/>
        <v>197756.47446289132</v>
      </c>
      <c r="AP9" s="44">
        <f t="shared" si="39"/>
        <v>209937.75661612905</v>
      </c>
      <c r="AQ9" s="44">
        <f t="shared" si="40"/>
        <v>209937.75661612905</v>
      </c>
      <c r="AR9" s="44">
        <f t="shared" si="41"/>
        <v>209937.75661612905</v>
      </c>
      <c r="AS9" s="44">
        <f t="shared" si="42"/>
        <v>209937.75661612905</v>
      </c>
    </row>
    <row r="10" spans="1:45" x14ac:dyDescent="0.2">
      <c r="A10" s="4">
        <v>1971.4</v>
      </c>
      <c r="B10" s="44">
        <f>chainindex!AK10/chainindex!AK11*newbrowser!B11</f>
        <v>187341.78381503953</v>
      </c>
      <c r="C10" s="44">
        <f t="shared" si="0"/>
        <v>187533.69022069484</v>
      </c>
      <c r="D10" s="44">
        <f t="shared" si="1"/>
        <v>187533.69022069484</v>
      </c>
      <c r="E10" s="44">
        <f t="shared" si="2"/>
        <v>187533.69022069484</v>
      </c>
      <c r="F10" s="44">
        <f t="shared" si="3"/>
        <v>187533.69022069484</v>
      </c>
      <c r="G10" s="44">
        <f t="shared" si="4"/>
        <v>187445.99572445088</v>
      </c>
      <c r="H10" s="44">
        <f t="shared" si="5"/>
        <v>187445.99572445088</v>
      </c>
      <c r="I10" s="44">
        <f t="shared" si="6"/>
        <v>187445.99572445088</v>
      </c>
      <c r="J10" s="44">
        <f t="shared" si="7"/>
        <v>187445.99572445088</v>
      </c>
      <c r="K10" s="44">
        <f t="shared" si="8"/>
        <v>187445.99572445088</v>
      </c>
      <c r="L10" s="44">
        <f t="shared" si="9"/>
        <v>187445.99572445088</v>
      </c>
      <c r="M10" s="44">
        <f t="shared" si="10"/>
        <v>187445.99677234402</v>
      </c>
      <c r="N10" s="44">
        <f t="shared" si="11"/>
        <v>187465.17321395956</v>
      </c>
      <c r="O10" s="44">
        <f t="shared" si="12"/>
        <v>187465.17321395956</v>
      </c>
      <c r="P10" s="44">
        <f t="shared" si="13"/>
        <v>187465.17321395956</v>
      </c>
      <c r="Q10" s="44">
        <f t="shared" si="14"/>
        <v>187465.17321395956</v>
      </c>
      <c r="R10" s="44">
        <f t="shared" si="15"/>
        <v>187475.70453845331</v>
      </c>
      <c r="S10" s="44">
        <f t="shared" si="16"/>
        <v>187475.70453845331</v>
      </c>
      <c r="T10" s="44">
        <f t="shared" si="17"/>
        <v>187475.70453845331</v>
      </c>
      <c r="U10" s="44">
        <f t="shared" si="18"/>
        <v>187475.70453845331</v>
      </c>
      <c r="V10" s="44">
        <f t="shared" si="19"/>
        <v>198886.4208248214</v>
      </c>
      <c r="W10" s="44">
        <f t="shared" si="20"/>
        <v>198886.4208248214</v>
      </c>
      <c r="X10" s="44">
        <f t="shared" si="21"/>
        <v>198886.4208248214</v>
      </c>
      <c r="Y10" s="44">
        <f t="shared" si="22"/>
        <v>198886.4208248214</v>
      </c>
      <c r="Z10" s="44">
        <f t="shared" si="23"/>
        <v>198727.03630188497</v>
      </c>
      <c r="AA10" s="44">
        <f t="shared" si="24"/>
        <v>198727.03630188497</v>
      </c>
      <c r="AB10" s="44">
        <f t="shared" si="25"/>
        <v>198727.03630188497</v>
      </c>
      <c r="AC10" s="44">
        <f t="shared" si="26"/>
        <v>198727.03630188497</v>
      </c>
      <c r="AD10" s="44">
        <f t="shared" si="27"/>
        <v>199009.65303979375</v>
      </c>
      <c r="AE10" s="44">
        <f t="shared" si="28"/>
        <v>199009.65303979375</v>
      </c>
      <c r="AF10" s="44">
        <f t="shared" si="29"/>
        <v>199009.65303979375</v>
      </c>
      <c r="AG10" s="44">
        <f t="shared" si="30"/>
        <v>199009.65303979375</v>
      </c>
      <c r="AH10" s="44">
        <f t="shared" si="31"/>
        <v>199069.6449131539</v>
      </c>
      <c r="AI10" s="44">
        <f t="shared" si="32"/>
        <v>199069.6449131539</v>
      </c>
      <c r="AJ10" s="44">
        <f t="shared" si="33"/>
        <v>199069.6449131539</v>
      </c>
      <c r="AK10" s="44">
        <f t="shared" si="34"/>
        <v>199069.6449131539</v>
      </c>
      <c r="AL10" s="44">
        <f t="shared" si="35"/>
        <v>198871.64553374043</v>
      </c>
      <c r="AM10" s="44">
        <f t="shared" si="36"/>
        <v>198871.64553374043</v>
      </c>
      <c r="AN10" s="44">
        <f t="shared" si="37"/>
        <v>198871.64553374043</v>
      </c>
      <c r="AO10" s="44">
        <f t="shared" si="38"/>
        <v>198871.64553374043</v>
      </c>
      <c r="AP10" s="44">
        <f t="shared" si="39"/>
        <v>211121.61931136131</v>
      </c>
      <c r="AQ10" s="44">
        <f t="shared" si="40"/>
        <v>211121.61931136131</v>
      </c>
      <c r="AR10" s="44">
        <f t="shared" si="41"/>
        <v>211121.61931136131</v>
      </c>
      <c r="AS10" s="44">
        <f t="shared" si="42"/>
        <v>211121.61931136131</v>
      </c>
    </row>
    <row r="11" spans="1:45" x14ac:dyDescent="0.2">
      <c r="A11" s="4">
        <v>1972.1</v>
      </c>
      <c r="B11" s="44">
        <f>chainindex!AK11/chainindex!AK12*newbrowser!B12</f>
        <v>189412.93205356647</v>
      </c>
      <c r="C11" s="44">
        <f t="shared" si="0"/>
        <v>189606.96007142137</v>
      </c>
      <c r="D11" s="44">
        <f t="shared" si="1"/>
        <v>189606.96007142137</v>
      </c>
      <c r="E11" s="44">
        <f t="shared" si="2"/>
        <v>189606.96007142137</v>
      </c>
      <c r="F11" s="44">
        <f t="shared" si="3"/>
        <v>189606.96007142137</v>
      </c>
      <c r="G11" s="44">
        <f t="shared" si="4"/>
        <v>189518.29607281802</v>
      </c>
      <c r="H11" s="44">
        <f t="shared" si="5"/>
        <v>189518.29607281802</v>
      </c>
      <c r="I11" s="44">
        <f t="shared" si="6"/>
        <v>189518.29607281802</v>
      </c>
      <c r="J11" s="44">
        <f t="shared" si="7"/>
        <v>189518.29607281802</v>
      </c>
      <c r="K11" s="44">
        <f t="shared" si="8"/>
        <v>189518.29607281802</v>
      </c>
      <c r="L11" s="44">
        <f t="shared" si="9"/>
        <v>189518.29607281802</v>
      </c>
      <c r="M11" s="44">
        <f t="shared" si="10"/>
        <v>189518.29713229608</v>
      </c>
      <c r="N11" s="44">
        <f t="shared" si="11"/>
        <v>189537.68557815577</v>
      </c>
      <c r="O11" s="44">
        <f t="shared" si="12"/>
        <v>189537.68557815577</v>
      </c>
      <c r="P11" s="44">
        <f t="shared" si="13"/>
        <v>189537.68557815577</v>
      </c>
      <c r="Q11" s="44">
        <f t="shared" si="14"/>
        <v>189537.68557815577</v>
      </c>
      <c r="R11" s="44">
        <f t="shared" si="15"/>
        <v>189548.33333120981</v>
      </c>
      <c r="S11" s="44">
        <f t="shared" si="16"/>
        <v>189548.33333120981</v>
      </c>
      <c r="T11" s="44">
        <f t="shared" si="17"/>
        <v>189548.33333120981</v>
      </c>
      <c r="U11" s="44">
        <f t="shared" si="18"/>
        <v>189548.33333120981</v>
      </c>
      <c r="V11" s="44">
        <f t="shared" si="19"/>
        <v>201085.20025229256</v>
      </c>
      <c r="W11" s="44">
        <f t="shared" si="20"/>
        <v>201085.20025229256</v>
      </c>
      <c r="X11" s="44">
        <f t="shared" si="21"/>
        <v>201085.20025229256</v>
      </c>
      <c r="Y11" s="44">
        <f t="shared" si="22"/>
        <v>201085.20025229256</v>
      </c>
      <c r="Z11" s="44">
        <f t="shared" si="23"/>
        <v>200924.05366129419</v>
      </c>
      <c r="AA11" s="44">
        <f t="shared" si="24"/>
        <v>200924.05366129419</v>
      </c>
      <c r="AB11" s="44">
        <f t="shared" si="25"/>
        <v>200924.05366129419</v>
      </c>
      <c r="AC11" s="44">
        <f t="shared" si="26"/>
        <v>200924.05366129419</v>
      </c>
      <c r="AD11" s="44">
        <f t="shared" si="27"/>
        <v>201209.79485519446</v>
      </c>
      <c r="AE11" s="44">
        <f t="shared" si="28"/>
        <v>201209.79485519446</v>
      </c>
      <c r="AF11" s="44">
        <f t="shared" si="29"/>
        <v>201209.79485519446</v>
      </c>
      <c r="AG11" s="44">
        <f t="shared" si="30"/>
        <v>201209.79485519446</v>
      </c>
      <c r="AH11" s="44">
        <f t="shared" si="31"/>
        <v>201270.44996587574</v>
      </c>
      <c r="AI11" s="44">
        <f t="shared" si="32"/>
        <v>201270.44996587574</v>
      </c>
      <c r="AJ11" s="44">
        <f t="shared" si="33"/>
        <v>201270.44996587574</v>
      </c>
      <c r="AK11" s="44">
        <f t="shared" si="34"/>
        <v>201270.44996587574</v>
      </c>
      <c r="AL11" s="44">
        <f t="shared" si="35"/>
        <v>201070.26161367923</v>
      </c>
      <c r="AM11" s="44">
        <f t="shared" si="36"/>
        <v>201070.26161367923</v>
      </c>
      <c r="AN11" s="44">
        <f t="shared" si="37"/>
        <v>201070.26161367923</v>
      </c>
      <c r="AO11" s="44">
        <f t="shared" si="38"/>
        <v>201070.26161367923</v>
      </c>
      <c r="AP11" s="44">
        <f t="shared" si="39"/>
        <v>213455.66439755197</v>
      </c>
      <c r="AQ11" s="44">
        <f t="shared" si="40"/>
        <v>213455.66439755197</v>
      </c>
      <c r="AR11" s="44">
        <f t="shared" si="41"/>
        <v>213455.66439755197</v>
      </c>
      <c r="AS11" s="44">
        <f t="shared" si="42"/>
        <v>213455.66439755197</v>
      </c>
    </row>
    <row r="12" spans="1:45" x14ac:dyDescent="0.2">
      <c r="A12" s="4">
        <v>1972.2</v>
      </c>
      <c r="B12" s="44">
        <f>chainindex!AK12/chainindex!AK13*newbrowser!B13</f>
        <v>189326.2606265574</v>
      </c>
      <c r="C12" s="44">
        <f t="shared" si="0"/>
        <v>189520.19986121781</v>
      </c>
      <c r="D12" s="44">
        <f t="shared" si="1"/>
        <v>189520.19986121781</v>
      </c>
      <c r="E12" s="44">
        <f t="shared" si="2"/>
        <v>189520.19986121781</v>
      </c>
      <c r="F12" s="44">
        <f t="shared" si="3"/>
        <v>189520.19986121781</v>
      </c>
      <c r="G12" s="44">
        <f t="shared" si="4"/>
        <v>189431.57643342027</v>
      </c>
      <c r="H12" s="44">
        <f t="shared" si="5"/>
        <v>189431.57643342027</v>
      </c>
      <c r="I12" s="44">
        <f t="shared" si="6"/>
        <v>189431.57643342027</v>
      </c>
      <c r="J12" s="44">
        <f t="shared" si="7"/>
        <v>189431.57643342027</v>
      </c>
      <c r="K12" s="44">
        <f t="shared" si="8"/>
        <v>189431.57643342027</v>
      </c>
      <c r="L12" s="44">
        <f t="shared" si="9"/>
        <v>189431.57643342027</v>
      </c>
      <c r="M12" s="44">
        <f t="shared" si="10"/>
        <v>189431.57749241352</v>
      </c>
      <c r="N12" s="44">
        <f t="shared" si="11"/>
        <v>189450.95706652274</v>
      </c>
      <c r="O12" s="44">
        <f t="shared" si="12"/>
        <v>189450.95706652274</v>
      </c>
      <c r="P12" s="44">
        <f t="shared" si="13"/>
        <v>189450.95706652274</v>
      </c>
      <c r="Q12" s="44">
        <f t="shared" si="14"/>
        <v>189450.95706652274</v>
      </c>
      <c r="R12" s="44">
        <f t="shared" si="15"/>
        <v>189461.59994738596</v>
      </c>
      <c r="S12" s="44">
        <f t="shared" si="16"/>
        <v>189461.59994738596</v>
      </c>
      <c r="T12" s="44">
        <f t="shared" si="17"/>
        <v>189461.59994738596</v>
      </c>
      <c r="U12" s="44">
        <f t="shared" si="18"/>
        <v>189461.59994738596</v>
      </c>
      <c r="V12" s="44">
        <f t="shared" si="19"/>
        <v>200993.18783757876</v>
      </c>
      <c r="W12" s="44">
        <f t="shared" si="20"/>
        <v>200993.18783757876</v>
      </c>
      <c r="X12" s="44">
        <f t="shared" si="21"/>
        <v>200993.18783757876</v>
      </c>
      <c r="Y12" s="44">
        <f t="shared" si="22"/>
        <v>200993.18783757876</v>
      </c>
      <c r="Z12" s="44">
        <f t="shared" si="23"/>
        <v>200832.11498391631</v>
      </c>
      <c r="AA12" s="44">
        <f t="shared" si="24"/>
        <v>200832.11498391631</v>
      </c>
      <c r="AB12" s="44">
        <f t="shared" si="25"/>
        <v>200832.11498391631</v>
      </c>
      <c r="AC12" s="44">
        <f t="shared" si="26"/>
        <v>200832.11498391631</v>
      </c>
      <c r="AD12" s="44">
        <f t="shared" si="27"/>
        <v>201117.72542857597</v>
      </c>
      <c r="AE12" s="44">
        <f t="shared" si="28"/>
        <v>201117.72542857597</v>
      </c>
      <c r="AF12" s="44">
        <f t="shared" si="29"/>
        <v>201117.72542857597</v>
      </c>
      <c r="AG12" s="44">
        <f t="shared" si="30"/>
        <v>201117.72542857597</v>
      </c>
      <c r="AH12" s="44">
        <f t="shared" si="31"/>
        <v>201178.3527847373</v>
      </c>
      <c r="AI12" s="44">
        <f t="shared" si="32"/>
        <v>201178.3527847373</v>
      </c>
      <c r="AJ12" s="44">
        <f t="shared" si="33"/>
        <v>201178.3527847373</v>
      </c>
      <c r="AK12" s="44">
        <f t="shared" si="34"/>
        <v>201178.3527847373</v>
      </c>
      <c r="AL12" s="44">
        <f t="shared" si="35"/>
        <v>200978.25603457645</v>
      </c>
      <c r="AM12" s="44">
        <f t="shared" si="36"/>
        <v>200978.25603457645</v>
      </c>
      <c r="AN12" s="44">
        <f t="shared" si="37"/>
        <v>200978.25603457645</v>
      </c>
      <c r="AO12" s="44">
        <f t="shared" si="38"/>
        <v>200978.25603457645</v>
      </c>
      <c r="AP12" s="44">
        <f t="shared" si="39"/>
        <v>213357.99151515728</v>
      </c>
      <c r="AQ12" s="44">
        <f t="shared" si="40"/>
        <v>213357.99151515728</v>
      </c>
      <c r="AR12" s="44">
        <f t="shared" si="41"/>
        <v>213357.99151515728</v>
      </c>
      <c r="AS12" s="44">
        <f t="shared" si="42"/>
        <v>213357.99151515728</v>
      </c>
    </row>
    <row r="13" spans="1:45" x14ac:dyDescent="0.2">
      <c r="A13" s="4">
        <v>1972.3</v>
      </c>
      <c r="B13" s="44">
        <f>chainindex!AK13/chainindex!AK14*newbrowser!B14</f>
        <v>191878.58471847951</v>
      </c>
      <c r="C13" s="44">
        <f t="shared" si="0"/>
        <v>192075.13846514348</v>
      </c>
      <c r="D13" s="44">
        <f t="shared" si="1"/>
        <v>192075.13846514348</v>
      </c>
      <c r="E13" s="44">
        <f t="shared" si="2"/>
        <v>192075.13846514348</v>
      </c>
      <c r="F13" s="44">
        <f t="shared" si="3"/>
        <v>192075.13846514348</v>
      </c>
      <c r="G13" s="44">
        <f t="shared" si="4"/>
        <v>191985.32029706464</v>
      </c>
      <c r="H13" s="44">
        <f t="shared" si="5"/>
        <v>191985.32029706464</v>
      </c>
      <c r="I13" s="44">
        <f t="shared" si="6"/>
        <v>191985.32029706464</v>
      </c>
      <c r="J13" s="44">
        <f t="shared" si="7"/>
        <v>191985.32029706464</v>
      </c>
      <c r="K13" s="44">
        <f t="shared" si="8"/>
        <v>191985.32029706464</v>
      </c>
      <c r="L13" s="44">
        <f t="shared" si="9"/>
        <v>191985.32029706464</v>
      </c>
      <c r="M13" s="44">
        <f t="shared" si="10"/>
        <v>191985.32137033428</v>
      </c>
      <c r="N13" s="44">
        <f t="shared" si="11"/>
        <v>192004.96220219889</v>
      </c>
      <c r="O13" s="44">
        <f t="shared" si="12"/>
        <v>192004.96220219889</v>
      </c>
      <c r="P13" s="44">
        <f t="shared" si="13"/>
        <v>192004.96220219889</v>
      </c>
      <c r="Q13" s="44">
        <f t="shared" si="14"/>
        <v>192004.96220219889</v>
      </c>
      <c r="R13" s="44">
        <f t="shared" si="15"/>
        <v>192015.74856068188</v>
      </c>
      <c r="S13" s="44">
        <f t="shared" si="16"/>
        <v>192015.74856068188</v>
      </c>
      <c r="T13" s="44">
        <f t="shared" si="17"/>
        <v>192015.74856068188</v>
      </c>
      <c r="U13" s="44">
        <f t="shared" si="18"/>
        <v>192015.74856068188</v>
      </c>
      <c r="V13" s="44">
        <f t="shared" si="19"/>
        <v>203702.79480880589</v>
      </c>
      <c r="W13" s="44">
        <f t="shared" si="20"/>
        <v>203702.79480880589</v>
      </c>
      <c r="X13" s="44">
        <f t="shared" si="21"/>
        <v>203702.79480880589</v>
      </c>
      <c r="Y13" s="44">
        <f t="shared" si="22"/>
        <v>203702.79480880589</v>
      </c>
      <c r="Z13" s="44">
        <f t="shared" si="23"/>
        <v>203539.55051773379</v>
      </c>
      <c r="AA13" s="44">
        <f t="shared" si="24"/>
        <v>203539.55051773379</v>
      </c>
      <c r="AB13" s="44">
        <f t="shared" si="25"/>
        <v>203539.55051773379</v>
      </c>
      <c r="AC13" s="44">
        <f t="shared" si="26"/>
        <v>203539.55051773379</v>
      </c>
      <c r="AD13" s="44">
        <f t="shared" si="27"/>
        <v>203829.01130210015</v>
      </c>
      <c r="AE13" s="44">
        <f t="shared" si="28"/>
        <v>203829.01130210015</v>
      </c>
      <c r="AF13" s="44">
        <f t="shared" si="29"/>
        <v>203829.01130210015</v>
      </c>
      <c r="AG13" s="44">
        <f t="shared" si="30"/>
        <v>203829.01130210015</v>
      </c>
      <c r="AH13" s="44">
        <f t="shared" si="31"/>
        <v>203890.45598102087</v>
      </c>
      <c r="AI13" s="44">
        <f t="shared" si="32"/>
        <v>203890.45598102087</v>
      </c>
      <c r="AJ13" s="44">
        <f t="shared" si="33"/>
        <v>203890.45598102087</v>
      </c>
      <c r="AK13" s="44">
        <f t="shared" si="34"/>
        <v>203890.45598102087</v>
      </c>
      <c r="AL13" s="44">
        <f t="shared" si="35"/>
        <v>203687.66170884453</v>
      </c>
      <c r="AM13" s="44">
        <f t="shared" si="36"/>
        <v>203687.66170884453</v>
      </c>
      <c r="AN13" s="44">
        <f t="shared" si="37"/>
        <v>203687.66170884453</v>
      </c>
      <c r="AO13" s="44">
        <f t="shared" si="38"/>
        <v>203687.66170884453</v>
      </c>
      <c r="AP13" s="44">
        <f t="shared" si="39"/>
        <v>216234.28950015997</v>
      </c>
      <c r="AQ13" s="44">
        <f t="shared" si="40"/>
        <v>216234.28950015997</v>
      </c>
      <c r="AR13" s="44">
        <f t="shared" si="41"/>
        <v>216234.28950015997</v>
      </c>
      <c r="AS13" s="44">
        <f t="shared" si="42"/>
        <v>216234.28950015997</v>
      </c>
    </row>
    <row r="14" spans="1:45" x14ac:dyDescent="0.2">
      <c r="A14" s="4">
        <v>1972.4</v>
      </c>
      <c r="B14" s="44">
        <f>chainindex!AK14/chainindex!AK15*newbrowser!B15</f>
        <v>192790.12903702306</v>
      </c>
      <c r="C14" s="44">
        <f t="shared" si="0"/>
        <v>192987.61653797401</v>
      </c>
      <c r="D14" s="44">
        <f t="shared" si="1"/>
        <v>192987.61653797401</v>
      </c>
      <c r="E14" s="44">
        <f t="shared" si="2"/>
        <v>192987.61653797401</v>
      </c>
      <c r="F14" s="44">
        <f t="shared" si="3"/>
        <v>192987.61653797401</v>
      </c>
      <c r="G14" s="44">
        <f t="shared" si="4"/>
        <v>192897.37167693756</v>
      </c>
      <c r="H14" s="44">
        <f t="shared" si="5"/>
        <v>192897.37167693756</v>
      </c>
      <c r="I14" s="44">
        <f t="shared" si="6"/>
        <v>192897.37167693756</v>
      </c>
      <c r="J14" s="44">
        <f t="shared" si="7"/>
        <v>192897.37167693756</v>
      </c>
      <c r="K14" s="44">
        <f t="shared" si="8"/>
        <v>192897.37167693756</v>
      </c>
      <c r="L14" s="44">
        <f t="shared" si="9"/>
        <v>192897.37167693756</v>
      </c>
      <c r="M14" s="44">
        <f t="shared" si="10"/>
        <v>192897.3727553059</v>
      </c>
      <c r="N14" s="44">
        <f t="shared" si="11"/>
        <v>192917.10689351175</v>
      </c>
      <c r="O14" s="44">
        <f t="shared" si="12"/>
        <v>192917.10689351175</v>
      </c>
      <c r="P14" s="44">
        <f t="shared" si="13"/>
        <v>192917.10689351175</v>
      </c>
      <c r="Q14" s="44">
        <f t="shared" si="14"/>
        <v>192917.10689351175</v>
      </c>
      <c r="R14" s="44">
        <f t="shared" si="15"/>
        <v>192927.9444940018</v>
      </c>
      <c r="S14" s="44">
        <f t="shared" si="16"/>
        <v>192927.9444940018</v>
      </c>
      <c r="T14" s="44">
        <f t="shared" si="17"/>
        <v>192927.9444940018</v>
      </c>
      <c r="U14" s="44">
        <f t="shared" si="18"/>
        <v>192927.9444940018</v>
      </c>
      <c r="V14" s="44">
        <f t="shared" si="19"/>
        <v>204670.51158424409</v>
      </c>
      <c r="W14" s="44">
        <f t="shared" si="20"/>
        <v>204670.51158424409</v>
      </c>
      <c r="X14" s="44">
        <f t="shared" si="21"/>
        <v>204670.51158424409</v>
      </c>
      <c r="Y14" s="44">
        <f t="shared" si="22"/>
        <v>204670.51158424409</v>
      </c>
      <c r="Z14" s="44">
        <f t="shared" si="23"/>
        <v>204506.49177981139</v>
      </c>
      <c r="AA14" s="44">
        <f t="shared" si="24"/>
        <v>204506.49177981139</v>
      </c>
      <c r="AB14" s="44">
        <f t="shared" si="25"/>
        <v>204506.49177981139</v>
      </c>
      <c r="AC14" s="44">
        <f t="shared" si="26"/>
        <v>204506.49177981139</v>
      </c>
      <c r="AD14" s="44">
        <f t="shared" si="27"/>
        <v>204797.32768550154</v>
      </c>
      <c r="AE14" s="44">
        <f t="shared" si="28"/>
        <v>204797.32768550154</v>
      </c>
      <c r="AF14" s="44">
        <f t="shared" si="29"/>
        <v>204797.32768550154</v>
      </c>
      <c r="AG14" s="44">
        <f t="shared" si="30"/>
        <v>204797.32768550154</v>
      </c>
      <c r="AH14" s="44">
        <f t="shared" si="31"/>
        <v>204859.06426540777</v>
      </c>
      <c r="AI14" s="44">
        <f t="shared" si="32"/>
        <v>204859.06426540777</v>
      </c>
      <c r="AJ14" s="44">
        <f t="shared" si="33"/>
        <v>204859.06426540777</v>
      </c>
      <c r="AK14" s="44">
        <f t="shared" si="34"/>
        <v>204859.06426540777</v>
      </c>
      <c r="AL14" s="44">
        <f t="shared" si="35"/>
        <v>204655.30659251162</v>
      </c>
      <c r="AM14" s="44">
        <f t="shared" si="36"/>
        <v>204655.30659251162</v>
      </c>
      <c r="AN14" s="44">
        <f t="shared" si="37"/>
        <v>204655.30659251162</v>
      </c>
      <c r="AO14" s="44">
        <f t="shared" si="38"/>
        <v>204655.30659251162</v>
      </c>
      <c r="AP14" s="44">
        <f t="shared" si="39"/>
        <v>217261.53878051799</v>
      </c>
      <c r="AQ14" s="44">
        <f t="shared" si="40"/>
        <v>217261.53878051799</v>
      </c>
      <c r="AR14" s="44">
        <f t="shared" si="41"/>
        <v>217261.53878051799</v>
      </c>
      <c r="AS14" s="44">
        <f t="shared" si="42"/>
        <v>217261.53878051799</v>
      </c>
    </row>
    <row r="15" spans="1:45" x14ac:dyDescent="0.2">
      <c r="A15" s="4">
        <v>1973.1</v>
      </c>
      <c r="B15" s="44">
        <f>chainindex!AK15/chainindex!AK16*newbrowser!B16</f>
        <v>194529.534916998</v>
      </c>
      <c r="C15" s="44">
        <f t="shared" si="0"/>
        <v>194728.80420481786</v>
      </c>
      <c r="D15" s="44">
        <f t="shared" si="1"/>
        <v>194728.80420481786</v>
      </c>
      <c r="E15" s="44">
        <f t="shared" si="2"/>
        <v>194728.80420481786</v>
      </c>
      <c r="F15" s="44">
        <f t="shared" si="3"/>
        <v>194728.80420481786</v>
      </c>
      <c r="G15" s="44">
        <f t="shared" si="4"/>
        <v>194637.74512967872</v>
      </c>
      <c r="H15" s="44">
        <f t="shared" si="5"/>
        <v>194637.74512967872</v>
      </c>
      <c r="I15" s="44">
        <f t="shared" si="6"/>
        <v>194637.74512967872</v>
      </c>
      <c r="J15" s="44">
        <f t="shared" si="7"/>
        <v>194637.74512967872</v>
      </c>
      <c r="K15" s="44">
        <f t="shared" si="8"/>
        <v>194637.74512967872</v>
      </c>
      <c r="L15" s="44">
        <f t="shared" si="9"/>
        <v>194637.74512967872</v>
      </c>
      <c r="M15" s="44">
        <f t="shared" si="10"/>
        <v>194637.74621777638</v>
      </c>
      <c r="N15" s="44">
        <f t="shared" si="11"/>
        <v>194657.65840283662</v>
      </c>
      <c r="O15" s="44">
        <f t="shared" si="12"/>
        <v>194657.65840283662</v>
      </c>
      <c r="P15" s="44">
        <f t="shared" si="13"/>
        <v>194657.65840283662</v>
      </c>
      <c r="Q15" s="44">
        <f t="shared" si="14"/>
        <v>194657.65840283662</v>
      </c>
      <c r="R15" s="44">
        <f t="shared" si="15"/>
        <v>194668.59378315654</v>
      </c>
      <c r="S15" s="44">
        <f t="shared" si="16"/>
        <v>194668.59378315654</v>
      </c>
      <c r="T15" s="44">
        <f t="shared" si="17"/>
        <v>194668.59378315654</v>
      </c>
      <c r="U15" s="44">
        <f t="shared" si="18"/>
        <v>194668.59378315654</v>
      </c>
      <c r="V15" s="44">
        <f t="shared" si="19"/>
        <v>206517.10556229338</v>
      </c>
      <c r="W15" s="44">
        <f t="shared" si="20"/>
        <v>206517.10556229338</v>
      </c>
      <c r="X15" s="44">
        <f t="shared" si="21"/>
        <v>206517.10556229338</v>
      </c>
      <c r="Y15" s="44">
        <f t="shared" si="22"/>
        <v>206517.10556229338</v>
      </c>
      <c r="Z15" s="44">
        <f t="shared" si="23"/>
        <v>206351.60592580866</v>
      </c>
      <c r="AA15" s="44">
        <f t="shared" si="24"/>
        <v>206351.60592580866</v>
      </c>
      <c r="AB15" s="44">
        <f t="shared" si="25"/>
        <v>206351.60592580866</v>
      </c>
      <c r="AC15" s="44">
        <f t="shared" si="26"/>
        <v>206351.60592580866</v>
      </c>
      <c r="AD15" s="44">
        <f t="shared" si="27"/>
        <v>206645.06583350032</v>
      </c>
      <c r="AE15" s="44">
        <f t="shared" si="28"/>
        <v>206645.06583350032</v>
      </c>
      <c r="AF15" s="44">
        <f t="shared" si="29"/>
        <v>206645.06583350032</v>
      </c>
      <c r="AG15" s="44">
        <f t="shared" si="30"/>
        <v>206645.06583350032</v>
      </c>
      <c r="AH15" s="44">
        <f t="shared" si="31"/>
        <v>206707.35941791002</v>
      </c>
      <c r="AI15" s="44">
        <f t="shared" si="32"/>
        <v>206707.35941791002</v>
      </c>
      <c r="AJ15" s="44">
        <f t="shared" si="33"/>
        <v>206707.35941791002</v>
      </c>
      <c r="AK15" s="44">
        <f t="shared" si="34"/>
        <v>206707.35941791002</v>
      </c>
      <c r="AL15" s="44">
        <f t="shared" si="35"/>
        <v>206501.76338691902</v>
      </c>
      <c r="AM15" s="44">
        <f t="shared" si="36"/>
        <v>206501.76338691902</v>
      </c>
      <c r="AN15" s="44">
        <f t="shared" si="37"/>
        <v>206501.76338691902</v>
      </c>
      <c r="AO15" s="44">
        <f t="shared" si="38"/>
        <v>206501.76338691902</v>
      </c>
      <c r="AP15" s="44">
        <f t="shared" si="39"/>
        <v>219221.73248926675</v>
      </c>
      <c r="AQ15" s="44">
        <f t="shared" si="40"/>
        <v>219221.73248926675</v>
      </c>
      <c r="AR15" s="44">
        <f t="shared" si="41"/>
        <v>219221.73248926675</v>
      </c>
      <c r="AS15" s="44">
        <f t="shared" si="42"/>
        <v>219221.73248926675</v>
      </c>
    </row>
    <row r="16" spans="1:45" x14ac:dyDescent="0.2">
      <c r="A16" s="4">
        <v>1973.2</v>
      </c>
      <c r="B16" s="44">
        <f>chainindex!AK16/chainindex!AK17*newbrowser!B17</f>
        <v>200357.4412158833</v>
      </c>
      <c r="C16" s="44">
        <f t="shared" si="0"/>
        <v>200562.68040816087</v>
      </c>
      <c r="D16" s="44">
        <f t="shared" si="1"/>
        <v>200562.68040816087</v>
      </c>
      <c r="E16" s="44">
        <f t="shared" si="2"/>
        <v>200562.68040816087</v>
      </c>
      <c r="F16" s="44">
        <f t="shared" si="3"/>
        <v>200562.68040816087</v>
      </c>
      <c r="G16" s="44">
        <f t="shared" si="4"/>
        <v>200468.89329607965</v>
      </c>
      <c r="H16" s="44">
        <f t="shared" si="5"/>
        <v>200468.89329607965</v>
      </c>
      <c r="I16" s="44">
        <f t="shared" si="6"/>
        <v>200468.89329607965</v>
      </c>
      <c r="J16" s="44">
        <f t="shared" si="7"/>
        <v>200468.89329607965</v>
      </c>
      <c r="K16" s="44">
        <f t="shared" si="8"/>
        <v>200468.89329607965</v>
      </c>
      <c r="L16" s="44">
        <f t="shared" si="9"/>
        <v>200468.89329607965</v>
      </c>
      <c r="M16" s="44">
        <f t="shared" si="10"/>
        <v>200468.89441677558</v>
      </c>
      <c r="N16" s="44">
        <f t="shared" si="11"/>
        <v>200489.40315057474</v>
      </c>
      <c r="O16" s="44">
        <f t="shared" si="12"/>
        <v>200489.40315057474</v>
      </c>
      <c r="P16" s="44">
        <f t="shared" si="13"/>
        <v>200489.40315057474</v>
      </c>
      <c r="Q16" s="44">
        <f t="shared" si="14"/>
        <v>200489.40315057474</v>
      </c>
      <c r="R16" s="44">
        <f t="shared" si="15"/>
        <v>200500.66614372667</v>
      </c>
      <c r="S16" s="44">
        <f t="shared" si="16"/>
        <v>200500.66614372667</v>
      </c>
      <c r="T16" s="44">
        <f t="shared" si="17"/>
        <v>200500.66614372667</v>
      </c>
      <c r="U16" s="44">
        <f t="shared" si="18"/>
        <v>200500.66614372667</v>
      </c>
      <c r="V16" s="44">
        <f t="shared" si="19"/>
        <v>212704.14724132465</v>
      </c>
      <c r="W16" s="44">
        <f t="shared" si="20"/>
        <v>212704.14724132465</v>
      </c>
      <c r="X16" s="44">
        <f t="shared" si="21"/>
        <v>212704.14724132465</v>
      </c>
      <c r="Y16" s="44">
        <f t="shared" si="22"/>
        <v>212704.14724132465</v>
      </c>
      <c r="Z16" s="44">
        <f t="shared" si="23"/>
        <v>212533.68940466564</v>
      </c>
      <c r="AA16" s="44">
        <f t="shared" si="24"/>
        <v>212533.68940466564</v>
      </c>
      <c r="AB16" s="44">
        <f t="shared" si="25"/>
        <v>212533.68940466564</v>
      </c>
      <c r="AC16" s="44">
        <f t="shared" si="26"/>
        <v>212533.68940466564</v>
      </c>
      <c r="AD16" s="44">
        <f t="shared" si="27"/>
        <v>212835.94107164073</v>
      </c>
      <c r="AE16" s="44">
        <f t="shared" si="28"/>
        <v>212835.94107164073</v>
      </c>
      <c r="AF16" s="44">
        <f t="shared" si="29"/>
        <v>212835.94107164073</v>
      </c>
      <c r="AG16" s="44">
        <f t="shared" si="30"/>
        <v>212835.94107164073</v>
      </c>
      <c r="AH16" s="44">
        <f t="shared" si="31"/>
        <v>212900.10090825279</v>
      </c>
      <c r="AI16" s="44">
        <f t="shared" si="32"/>
        <v>212900.10090825279</v>
      </c>
      <c r="AJ16" s="44">
        <f t="shared" si="33"/>
        <v>212900.10090825279</v>
      </c>
      <c r="AK16" s="44">
        <f t="shared" si="34"/>
        <v>212900.10090825279</v>
      </c>
      <c r="AL16" s="44">
        <f t="shared" si="35"/>
        <v>212688.34543003672</v>
      </c>
      <c r="AM16" s="44">
        <f t="shared" si="36"/>
        <v>212688.34543003672</v>
      </c>
      <c r="AN16" s="44">
        <f t="shared" si="37"/>
        <v>212688.34543003672</v>
      </c>
      <c r="AO16" s="44">
        <f t="shared" si="38"/>
        <v>212688.34543003672</v>
      </c>
      <c r="AP16" s="44">
        <f t="shared" si="39"/>
        <v>225789.39182270353</v>
      </c>
      <c r="AQ16" s="44">
        <f t="shared" si="40"/>
        <v>225789.39182270353</v>
      </c>
      <c r="AR16" s="44">
        <f t="shared" si="41"/>
        <v>225789.39182270353</v>
      </c>
      <c r="AS16" s="44">
        <f t="shared" si="42"/>
        <v>225789.39182270353</v>
      </c>
    </row>
    <row r="17" spans="1:45" x14ac:dyDescent="0.2">
      <c r="A17" s="4">
        <v>1973.3</v>
      </c>
      <c r="B17" s="44">
        <f>chainindex!AK17/chainindex!AK18*newbrowser!B18</f>
        <v>206733.76844084321</v>
      </c>
      <c r="C17" s="44">
        <f t="shared" si="0"/>
        <v>206945.53932089542</v>
      </c>
      <c r="D17" s="44">
        <f t="shared" si="1"/>
        <v>206945.53932089542</v>
      </c>
      <c r="E17" s="44">
        <f t="shared" si="2"/>
        <v>206945.53932089542</v>
      </c>
      <c r="F17" s="44">
        <f t="shared" si="3"/>
        <v>206945.53932089542</v>
      </c>
      <c r="G17" s="44">
        <f t="shared" si="4"/>
        <v>206848.76745660094</v>
      </c>
      <c r="H17" s="44">
        <f t="shared" si="5"/>
        <v>206848.76745660094</v>
      </c>
      <c r="I17" s="44">
        <f t="shared" si="6"/>
        <v>206848.76745660094</v>
      </c>
      <c r="J17" s="44">
        <f t="shared" si="7"/>
        <v>206848.76745660094</v>
      </c>
      <c r="K17" s="44">
        <f t="shared" si="8"/>
        <v>206848.76745660094</v>
      </c>
      <c r="L17" s="44">
        <f t="shared" si="9"/>
        <v>206848.76745660094</v>
      </c>
      <c r="M17" s="44">
        <f t="shared" si="10"/>
        <v>206848.76861296274</v>
      </c>
      <c r="N17" s="44">
        <f t="shared" si="11"/>
        <v>206869.93003226677</v>
      </c>
      <c r="O17" s="44">
        <f t="shared" si="12"/>
        <v>206869.93003226677</v>
      </c>
      <c r="P17" s="44">
        <f t="shared" si="13"/>
        <v>206869.93003226677</v>
      </c>
      <c r="Q17" s="44">
        <f t="shared" si="14"/>
        <v>206869.93003226677</v>
      </c>
      <c r="R17" s="44">
        <f t="shared" si="15"/>
        <v>206881.55146745828</v>
      </c>
      <c r="S17" s="44">
        <f t="shared" si="16"/>
        <v>206881.55146745828</v>
      </c>
      <c r="T17" s="44">
        <f t="shared" si="17"/>
        <v>206881.55146745828</v>
      </c>
      <c r="U17" s="44">
        <f t="shared" si="18"/>
        <v>206881.55146745828</v>
      </c>
      <c r="V17" s="44">
        <f t="shared" si="19"/>
        <v>219473.40540656235</v>
      </c>
      <c r="W17" s="44">
        <f t="shared" si="20"/>
        <v>219473.40540656235</v>
      </c>
      <c r="X17" s="44">
        <f t="shared" si="21"/>
        <v>219473.40540656235</v>
      </c>
      <c r="Y17" s="44">
        <f t="shared" si="22"/>
        <v>219473.40540656235</v>
      </c>
      <c r="Z17" s="44">
        <f t="shared" si="23"/>
        <v>219297.5227903793</v>
      </c>
      <c r="AA17" s="44">
        <f t="shared" si="24"/>
        <v>219297.5227903793</v>
      </c>
      <c r="AB17" s="44">
        <f t="shared" si="25"/>
        <v>219297.5227903793</v>
      </c>
      <c r="AC17" s="44">
        <f t="shared" si="26"/>
        <v>219297.5227903793</v>
      </c>
      <c r="AD17" s="44">
        <f t="shared" si="27"/>
        <v>219609.39354372935</v>
      </c>
      <c r="AE17" s="44">
        <f t="shared" si="28"/>
        <v>219609.39354372935</v>
      </c>
      <c r="AF17" s="44">
        <f t="shared" si="29"/>
        <v>219609.39354372935</v>
      </c>
      <c r="AG17" s="44">
        <f t="shared" si="30"/>
        <v>219609.39354372935</v>
      </c>
      <c r="AH17" s="44">
        <f t="shared" si="31"/>
        <v>219675.59525166126</v>
      </c>
      <c r="AI17" s="44">
        <f t="shared" si="32"/>
        <v>219675.59525166126</v>
      </c>
      <c r="AJ17" s="44">
        <f t="shared" si="33"/>
        <v>219675.59525166126</v>
      </c>
      <c r="AK17" s="44">
        <f t="shared" si="34"/>
        <v>219675.59525166126</v>
      </c>
      <c r="AL17" s="44">
        <f t="shared" si="35"/>
        <v>219457.10070644278</v>
      </c>
      <c r="AM17" s="44">
        <f t="shared" si="36"/>
        <v>219457.10070644278</v>
      </c>
      <c r="AN17" s="44">
        <f t="shared" si="37"/>
        <v>219457.10070644278</v>
      </c>
      <c r="AO17" s="44">
        <f t="shared" si="38"/>
        <v>219457.10070644278</v>
      </c>
      <c r="AP17" s="44">
        <f t="shared" si="39"/>
        <v>232975.08473956896</v>
      </c>
      <c r="AQ17" s="44">
        <f t="shared" si="40"/>
        <v>232975.08473956896</v>
      </c>
      <c r="AR17" s="44">
        <f t="shared" si="41"/>
        <v>232975.08473956896</v>
      </c>
      <c r="AS17" s="44">
        <f t="shared" si="42"/>
        <v>232975.08473956896</v>
      </c>
    </row>
    <row r="18" spans="1:45" x14ac:dyDescent="0.2">
      <c r="A18" s="4">
        <v>1973.4</v>
      </c>
      <c r="B18" s="44">
        <f>chainindex!AK18/chainindex!AK19*newbrowser!B19</f>
        <v>211783.12623159538</v>
      </c>
      <c r="C18" s="44">
        <f t="shared" si="0"/>
        <v>212000.06949809956</v>
      </c>
      <c r="D18" s="44">
        <f t="shared" si="1"/>
        <v>212000.06949809956</v>
      </c>
      <c r="E18" s="44">
        <f t="shared" si="2"/>
        <v>212000.06949809956</v>
      </c>
      <c r="F18" s="44">
        <f t="shared" si="3"/>
        <v>212000.06949809956</v>
      </c>
      <c r="G18" s="44">
        <f t="shared" si="4"/>
        <v>211900.93403461861</v>
      </c>
      <c r="H18" s="44">
        <f t="shared" si="5"/>
        <v>211900.93403461861</v>
      </c>
      <c r="I18" s="44">
        <f t="shared" si="6"/>
        <v>211900.93403461861</v>
      </c>
      <c r="J18" s="44">
        <f t="shared" si="7"/>
        <v>211900.93403461861</v>
      </c>
      <c r="K18" s="44">
        <f t="shared" si="8"/>
        <v>211900.93403461861</v>
      </c>
      <c r="L18" s="44">
        <f t="shared" si="9"/>
        <v>211900.93403461861</v>
      </c>
      <c r="M18" s="44">
        <f t="shared" si="10"/>
        <v>211900.9352192239</v>
      </c>
      <c r="N18" s="44">
        <f t="shared" si="11"/>
        <v>211922.6134944738</v>
      </c>
      <c r="O18" s="44">
        <f t="shared" si="12"/>
        <v>211922.6134944738</v>
      </c>
      <c r="P18" s="44">
        <f t="shared" si="13"/>
        <v>211922.6134944738</v>
      </c>
      <c r="Q18" s="44">
        <f t="shared" si="14"/>
        <v>211922.6134944738</v>
      </c>
      <c r="R18" s="44">
        <f t="shared" si="15"/>
        <v>211934.51877678311</v>
      </c>
      <c r="S18" s="44">
        <f t="shared" si="16"/>
        <v>211934.51877678311</v>
      </c>
      <c r="T18" s="44">
        <f t="shared" si="17"/>
        <v>211934.51877678311</v>
      </c>
      <c r="U18" s="44">
        <f t="shared" si="18"/>
        <v>211934.51877678311</v>
      </c>
      <c r="V18" s="44">
        <f t="shared" si="19"/>
        <v>224833.92177411285</v>
      </c>
      <c r="W18" s="44">
        <f t="shared" si="20"/>
        <v>224833.92177411285</v>
      </c>
      <c r="X18" s="44">
        <f t="shared" si="21"/>
        <v>224833.92177411285</v>
      </c>
      <c r="Y18" s="44">
        <f t="shared" si="22"/>
        <v>224833.92177411285</v>
      </c>
      <c r="Z18" s="44">
        <f t="shared" si="23"/>
        <v>224653.74332244546</v>
      </c>
      <c r="AA18" s="44">
        <f t="shared" si="24"/>
        <v>224653.74332244546</v>
      </c>
      <c r="AB18" s="44">
        <f t="shared" si="25"/>
        <v>224653.74332244546</v>
      </c>
      <c r="AC18" s="44">
        <f t="shared" si="26"/>
        <v>224653.74332244546</v>
      </c>
      <c r="AD18" s="44">
        <f t="shared" si="27"/>
        <v>224973.23134621055</v>
      </c>
      <c r="AE18" s="44">
        <f t="shared" si="28"/>
        <v>224973.23134621055</v>
      </c>
      <c r="AF18" s="44">
        <f t="shared" si="29"/>
        <v>224973.23134621055</v>
      </c>
      <c r="AG18" s="44">
        <f t="shared" si="30"/>
        <v>224973.23134621055</v>
      </c>
      <c r="AH18" s="44">
        <f t="shared" si="31"/>
        <v>225041.04999419162</v>
      </c>
      <c r="AI18" s="44">
        <f t="shared" si="32"/>
        <v>225041.04999419162</v>
      </c>
      <c r="AJ18" s="44">
        <f t="shared" si="33"/>
        <v>225041.04999419162</v>
      </c>
      <c r="AK18" s="44">
        <f t="shared" si="34"/>
        <v>225041.04999419162</v>
      </c>
      <c r="AL18" s="44">
        <f t="shared" si="35"/>
        <v>224817.21884072354</v>
      </c>
      <c r="AM18" s="44">
        <f t="shared" si="36"/>
        <v>224817.21884072354</v>
      </c>
      <c r="AN18" s="44">
        <f t="shared" si="37"/>
        <v>224817.21884072354</v>
      </c>
      <c r="AO18" s="44">
        <f t="shared" si="38"/>
        <v>224817.21884072354</v>
      </c>
      <c r="AP18" s="44">
        <f t="shared" si="39"/>
        <v>238665.37214666719</v>
      </c>
      <c r="AQ18" s="44">
        <f t="shared" si="40"/>
        <v>238665.37214666719</v>
      </c>
      <c r="AR18" s="44">
        <f t="shared" si="41"/>
        <v>238665.37214666719</v>
      </c>
      <c r="AS18" s="44">
        <f t="shared" si="42"/>
        <v>238665.37214666719</v>
      </c>
    </row>
    <row r="19" spans="1:45" x14ac:dyDescent="0.2">
      <c r="A19" s="4">
        <v>1974.1</v>
      </c>
      <c r="B19" s="44">
        <f>chainindex!AK19/chainindex!AK20*newbrowser!B20</f>
        <v>213500.11708734391</v>
      </c>
      <c r="C19" s="44">
        <f t="shared" si="0"/>
        <v>213718.81917954603</v>
      </c>
      <c r="D19" s="44">
        <f t="shared" si="1"/>
        <v>213718.81917954603</v>
      </c>
      <c r="E19" s="44">
        <f t="shared" si="2"/>
        <v>213718.81917954603</v>
      </c>
      <c r="F19" s="44">
        <f t="shared" si="3"/>
        <v>213718.81917954603</v>
      </c>
      <c r="G19" s="44">
        <f t="shared" si="4"/>
        <v>213618.87999441216</v>
      </c>
      <c r="H19" s="44">
        <f t="shared" si="5"/>
        <v>213618.87999441216</v>
      </c>
      <c r="I19" s="44">
        <f t="shared" si="6"/>
        <v>213618.87999441216</v>
      </c>
      <c r="J19" s="44">
        <f t="shared" si="7"/>
        <v>213618.87999441216</v>
      </c>
      <c r="K19" s="44">
        <f t="shared" si="8"/>
        <v>213618.87999441216</v>
      </c>
      <c r="L19" s="44">
        <f t="shared" si="9"/>
        <v>213618.87999441216</v>
      </c>
      <c r="M19" s="44">
        <f t="shared" si="10"/>
        <v>213618.8811886214</v>
      </c>
      <c r="N19" s="44">
        <f t="shared" si="11"/>
        <v>213640.73521630745</v>
      </c>
      <c r="O19" s="44">
        <f t="shared" si="12"/>
        <v>213640.73521630745</v>
      </c>
      <c r="P19" s="44">
        <f t="shared" si="13"/>
        <v>213640.73521630745</v>
      </c>
      <c r="Q19" s="44">
        <f t="shared" si="14"/>
        <v>213640.73521630745</v>
      </c>
      <c r="R19" s="44">
        <f t="shared" si="15"/>
        <v>213652.73701839728</v>
      </c>
      <c r="S19" s="44">
        <f t="shared" si="16"/>
        <v>213652.73701839728</v>
      </c>
      <c r="T19" s="44">
        <f t="shared" si="17"/>
        <v>213652.73701839728</v>
      </c>
      <c r="U19" s="44">
        <f t="shared" si="18"/>
        <v>213652.73701839728</v>
      </c>
      <c r="V19" s="44">
        <f t="shared" si="19"/>
        <v>226656.71943801211</v>
      </c>
      <c r="W19" s="44">
        <f t="shared" si="20"/>
        <v>226656.71943801211</v>
      </c>
      <c r="X19" s="44">
        <f t="shared" si="21"/>
        <v>226656.71943801211</v>
      </c>
      <c r="Y19" s="44">
        <f t="shared" si="22"/>
        <v>226656.71943801211</v>
      </c>
      <c r="Z19" s="44">
        <f t="shared" si="23"/>
        <v>226475.08022429337</v>
      </c>
      <c r="AA19" s="44">
        <f t="shared" si="24"/>
        <v>226475.08022429337</v>
      </c>
      <c r="AB19" s="44">
        <f t="shared" si="25"/>
        <v>226475.08022429337</v>
      </c>
      <c r="AC19" s="44">
        <f t="shared" si="26"/>
        <v>226475.08022429337</v>
      </c>
      <c r="AD19" s="44">
        <f t="shared" si="27"/>
        <v>226797.15843560119</v>
      </c>
      <c r="AE19" s="44">
        <f t="shared" si="28"/>
        <v>226797.15843560119</v>
      </c>
      <c r="AF19" s="44">
        <f t="shared" si="29"/>
        <v>226797.15843560119</v>
      </c>
      <c r="AG19" s="44">
        <f t="shared" si="30"/>
        <v>226797.15843560119</v>
      </c>
      <c r="AH19" s="44">
        <f t="shared" si="31"/>
        <v>226865.52691019265</v>
      </c>
      <c r="AI19" s="44">
        <f t="shared" si="32"/>
        <v>226865.52691019265</v>
      </c>
      <c r="AJ19" s="44">
        <f t="shared" si="33"/>
        <v>226865.52691019265</v>
      </c>
      <c r="AK19" s="44">
        <f t="shared" si="34"/>
        <v>226865.52691019265</v>
      </c>
      <c r="AL19" s="44">
        <f t="shared" si="35"/>
        <v>226639.88108881132</v>
      </c>
      <c r="AM19" s="44">
        <f t="shared" si="36"/>
        <v>226639.88108881132</v>
      </c>
      <c r="AN19" s="44">
        <f t="shared" si="37"/>
        <v>226639.88108881132</v>
      </c>
      <c r="AO19" s="44">
        <f t="shared" si="38"/>
        <v>226639.88108881132</v>
      </c>
      <c r="AP19" s="44">
        <f t="shared" si="39"/>
        <v>240600.30562721053</v>
      </c>
      <c r="AQ19" s="44">
        <f t="shared" si="40"/>
        <v>240600.30562721053</v>
      </c>
      <c r="AR19" s="44">
        <f t="shared" si="41"/>
        <v>240600.30562721053</v>
      </c>
      <c r="AS19" s="44">
        <f t="shared" si="42"/>
        <v>240600.30562721053</v>
      </c>
    </row>
    <row r="20" spans="1:45" x14ac:dyDescent="0.2">
      <c r="A20" s="4">
        <v>1974.2</v>
      </c>
      <c r="B20" s="44">
        <f>chainindex!AK20/chainindex!AK21*newbrowser!B21</f>
        <v>215539.8842919537</v>
      </c>
      <c r="C20" s="44">
        <f t="shared" si="0"/>
        <v>215760.67585071604</v>
      </c>
      <c r="D20" s="44">
        <f t="shared" si="1"/>
        <v>215760.67585071604</v>
      </c>
      <c r="E20" s="44">
        <f t="shared" si="2"/>
        <v>215760.67585071604</v>
      </c>
      <c r="F20" s="44">
        <f t="shared" si="3"/>
        <v>215760.67585071604</v>
      </c>
      <c r="G20" s="44">
        <f t="shared" si="4"/>
        <v>215659.78185265244</v>
      </c>
      <c r="H20" s="44">
        <f t="shared" si="5"/>
        <v>215659.78185265244</v>
      </c>
      <c r="I20" s="44">
        <f t="shared" si="6"/>
        <v>215659.78185265244</v>
      </c>
      <c r="J20" s="44">
        <f t="shared" si="7"/>
        <v>215659.78185265244</v>
      </c>
      <c r="K20" s="44">
        <f t="shared" si="8"/>
        <v>215659.78185265244</v>
      </c>
      <c r="L20" s="44">
        <f t="shared" si="9"/>
        <v>215659.78185265244</v>
      </c>
      <c r="M20" s="44">
        <f t="shared" si="10"/>
        <v>215659.78305827107</v>
      </c>
      <c r="N20" s="44">
        <f t="shared" si="11"/>
        <v>215681.84587801577</v>
      </c>
      <c r="O20" s="44">
        <f t="shared" si="12"/>
        <v>215681.84587801577</v>
      </c>
      <c r="P20" s="44">
        <f t="shared" si="13"/>
        <v>215681.84587801577</v>
      </c>
      <c r="Q20" s="44">
        <f t="shared" si="14"/>
        <v>215681.84587801577</v>
      </c>
      <c r="R20" s="44">
        <f t="shared" si="15"/>
        <v>215693.9623445968</v>
      </c>
      <c r="S20" s="44">
        <f t="shared" si="16"/>
        <v>215693.9623445968</v>
      </c>
      <c r="T20" s="44">
        <f t="shared" si="17"/>
        <v>215693.9623445968</v>
      </c>
      <c r="U20" s="44">
        <f t="shared" si="18"/>
        <v>215693.9623445968</v>
      </c>
      <c r="V20" s="44">
        <f t="shared" si="19"/>
        <v>228822.18402567302</v>
      </c>
      <c r="W20" s="44">
        <f t="shared" si="20"/>
        <v>228822.18402567302</v>
      </c>
      <c r="X20" s="44">
        <f t="shared" si="21"/>
        <v>228822.18402567302</v>
      </c>
      <c r="Y20" s="44">
        <f t="shared" si="22"/>
        <v>228822.18402567302</v>
      </c>
      <c r="Z20" s="44">
        <f t="shared" si="23"/>
        <v>228638.80944189327</v>
      </c>
      <c r="AA20" s="44">
        <f t="shared" si="24"/>
        <v>228638.80944189327</v>
      </c>
      <c r="AB20" s="44">
        <f t="shared" si="25"/>
        <v>228638.80944189327</v>
      </c>
      <c r="AC20" s="44">
        <f t="shared" si="26"/>
        <v>228638.80944189327</v>
      </c>
      <c r="AD20" s="44">
        <f t="shared" si="27"/>
        <v>228963.9647689503</v>
      </c>
      <c r="AE20" s="44">
        <f t="shared" si="28"/>
        <v>228963.9647689503</v>
      </c>
      <c r="AF20" s="44">
        <f t="shared" si="29"/>
        <v>228963.9647689503</v>
      </c>
      <c r="AG20" s="44">
        <f t="shared" si="30"/>
        <v>228963.9647689503</v>
      </c>
      <c r="AH20" s="44">
        <f t="shared" si="31"/>
        <v>229032.98643181261</v>
      </c>
      <c r="AI20" s="44">
        <f t="shared" si="32"/>
        <v>229032.98643181261</v>
      </c>
      <c r="AJ20" s="44">
        <f t="shared" si="33"/>
        <v>229032.98643181261</v>
      </c>
      <c r="AK20" s="44">
        <f t="shared" si="34"/>
        <v>229032.98643181261</v>
      </c>
      <c r="AL20" s="44">
        <f t="shared" si="35"/>
        <v>228805.18480390249</v>
      </c>
      <c r="AM20" s="44">
        <f t="shared" si="36"/>
        <v>228805.18480390249</v>
      </c>
      <c r="AN20" s="44">
        <f t="shared" si="37"/>
        <v>228805.18480390249</v>
      </c>
      <c r="AO20" s="44">
        <f t="shared" si="38"/>
        <v>228805.18480390249</v>
      </c>
      <c r="AP20" s="44">
        <f t="shared" si="39"/>
        <v>242898.98639391339</v>
      </c>
      <c r="AQ20" s="44">
        <f t="shared" si="40"/>
        <v>242898.98639391339</v>
      </c>
      <c r="AR20" s="44">
        <f t="shared" si="41"/>
        <v>242898.98639391339</v>
      </c>
      <c r="AS20" s="44">
        <f t="shared" si="42"/>
        <v>242898.98639391339</v>
      </c>
    </row>
    <row r="21" spans="1:45" x14ac:dyDescent="0.2">
      <c r="A21" s="4">
        <v>1974.3</v>
      </c>
      <c r="B21" s="44">
        <f>chainindex!AK21/chainindex!AK22*newbrowser!B22</f>
        <v>215898.52467957741</v>
      </c>
      <c r="C21" s="44">
        <f t="shared" si="0"/>
        <v>216119.68361707561</v>
      </c>
      <c r="D21" s="44">
        <f t="shared" si="1"/>
        <v>216119.68361707561</v>
      </c>
      <c r="E21" s="44">
        <f t="shared" si="2"/>
        <v>216119.68361707561</v>
      </c>
      <c r="F21" s="44">
        <f t="shared" si="3"/>
        <v>216119.68361707561</v>
      </c>
      <c r="G21" s="44">
        <f t="shared" si="4"/>
        <v>216018.62173981557</v>
      </c>
      <c r="H21" s="44">
        <f t="shared" si="5"/>
        <v>216018.62173981557</v>
      </c>
      <c r="I21" s="44">
        <f t="shared" si="6"/>
        <v>216018.62173981557</v>
      </c>
      <c r="J21" s="44">
        <f t="shared" si="7"/>
        <v>216018.62173981557</v>
      </c>
      <c r="K21" s="44">
        <f t="shared" si="8"/>
        <v>216018.62173981557</v>
      </c>
      <c r="L21" s="44">
        <f t="shared" si="9"/>
        <v>216018.62173981557</v>
      </c>
      <c r="M21" s="44">
        <f t="shared" si="10"/>
        <v>216018.62294744028</v>
      </c>
      <c r="N21" s="44">
        <f t="shared" si="11"/>
        <v>216040.72247787658</v>
      </c>
      <c r="O21" s="44">
        <f t="shared" si="12"/>
        <v>216040.72247787658</v>
      </c>
      <c r="P21" s="44">
        <f t="shared" si="13"/>
        <v>216040.72247787658</v>
      </c>
      <c r="Q21" s="44">
        <f t="shared" si="14"/>
        <v>216040.72247787658</v>
      </c>
      <c r="R21" s="44">
        <f t="shared" si="15"/>
        <v>216052.85910524728</v>
      </c>
      <c r="S21" s="44">
        <f t="shared" si="16"/>
        <v>216052.85910524728</v>
      </c>
      <c r="T21" s="44">
        <f t="shared" si="17"/>
        <v>216052.85910524728</v>
      </c>
      <c r="U21" s="44">
        <f t="shared" si="18"/>
        <v>216052.85910524728</v>
      </c>
      <c r="V21" s="44">
        <f t="shared" si="19"/>
        <v>229202.92505207495</v>
      </c>
      <c r="W21" s="44">
        <f t="shared" si="20"/>
        <v>229202.92505207495</v>
      </c>
      <c r="X21" s="44">
        <f t="shared" si="21"/>
        <v>229202.92505207495</v>
      </c>
      <c r="Y21" s="44">
        <f t="shared" si="22"/>
        <v>229202.92505207495</v>
      </c>
      <c r="Z21" s="44">
        <f t="shared" si="23"/>
        <v>229019.24534828449</v>
      </c>
      <c r="AA21" s="44">
        <f t="shared" si="24"/>
        <v>229019.24534828449</v>
      </c>
      <c r="AB21" s="44">
        <f t="shared" si="25"/>
        <v>229019.24534828449</v>
      </c>
      <c r="AC21" s="44">
        <f t="shared" si="26"/>
        <v>229019.24534828449</v>
      </c>
      <c r="AD21" s="44">
        <f t="shared" si="27"/>
        <v>229344.94170668203</v>
      </c>
      <c r="AE21" s="44">
        <f t="shared" si="28"/>
        <v>229344.94170668203</v>
      </c>
      <c r="AF21" s="44">
        <f t="shared" si="29"/>
        <v>229344.94170668203</v>
      </c>
      <c r="AG21" s="44">
        <f t="shared" si="30"/>
        <v>229344.94170668203</v>
      </c>
      <c r="AH21" s="44">
        <f t="shared" si="31"/>
        <v>229414.07821583372</v>
      </c>
      <c r="AI21" s="44">
        <f t="shared" si="32"/>
        <v>229414.07821583372</v>
      </c>
      <c r="AJ21" s="44">
        <f t="shared" si="33"/>
        <v>229414.07821583372</v>
      </c>
      <c r="AK21" s="44">
        <f t="shared" si="34"/>
        <v>229414.07821583372</v>
      </c>
      <c r="AL21" s="44">
        <f t="shared" si="35"/>
        <v>229185.89754501745</v>
      </c>
      <c r="AM21" s="44">
        <f t="shared" si="36"/>
        <v>229185.89754501745</v>
      </c>
      <c r="AN21" s="44">
        <f t="shared" si="37"/>
        <v>229185.89754501745</v>
      </c>
      <c r="AO21" s="44">
        <f t="shared" si="38"/>
        <v>229185.89754501745</v>
      </c>
      <c r="AP21" s="44">
        <f t="shared" si="39"/>
        <v>243303.15004520182</v>
      </c>
      <c r="AQ21" s="44">
        <f t="shared" si="40"/>
        <v>243303.15004520182</v>
      </c>
      <c r="AR21" s="44">
        <f t="shared" si="41"/>
        <v>243303.15004520182</v>
      </c>
      <c r="AS21" s="44">
        <f t="shared" si="42"/>
        <v>243303.15004520182</v>
      </c>
    </row>
    <row r="22" spans="1:45" x14ac:dyDescent="0.2">
      <c r="A22" s="4">
        <v>1974.4</v>
      </c>
      <c r="B22" s="44">
        <f>chainindex!AK22/chainindex!AK23*newbrowser!B23</f>
        <v>211385.63313531238</v>
      </c>
      <c r="C22" s="44">
        <f t="shared" si="0"/>
        <v>211602.16922371768</v>
      </c>
      <c r="D22" s="44">
        <f t="shared" si="1"/>
        <v>211602.16922371768</v>
      </c>
      <c r="E22" s="44">
        <f t="shared" si="2"/>
        <v>211602.16922371768</v>
      </c>
      <c r="F22" s="44">
        <f t="shared" si="3"/>
        <v>211602.16922371768</v>
      </c>
      <c r="G22" s="44">
        <f t="shared" si="4"/>
        <v>211503.21982634609</v>
      </c>
      <c r="H22" s="44">
        <f t="shared" si="5"/>
        <v>211503.21982634609</v>
      </c>
      <c r="I22" s="44">
        <f t="shared" si="6"/>
        <v>211503.21982634609</v>
      </c>
      <c r="J22" s="44">
        <f t="shared" si="7"/>
        <v>211503.21982634609</v>
      </c>
      <c r="K22" s="44">
        <f t="shared" si="8"/>
        <v>211503.21982634609</v>
      </c>
      <c r="L22" s="44">
        <f t="shared" si="9"/>
        <v>211503.21982634609</v>
      </c>
      <c r="M22" s="44">
        <f t="shared" si="10"/>
        <v>211503.22100872803</v>
      </c>
      <c r="N22" s="44">
        <f t="shared" si="11"/>
        <v>211524.85859629468</v>
      </c>
      <c r="O22" s="44">
        <f t="shared" si="12"/>
        <v>211524.85859629468</v>
      </c>
      <c r="P22" s="44">
        <f t="shared" si="13"/>
        <v>211524.85859629468</v>
      </c>
      <c r="Q22" s="44">
        <f t="shared" si="14"/>
        <v>211524.85859629468</v>
      </c>
      <c r="R22" s="44">
        <f t="shared" si="15"/>
        <v>211536.74153372878</v>
      </c>
      <c r="S22" s="44">
        <f t="shared" si="16"/>
        <v>211536.74153372878</v>
      </c>
      <c r="T22" s="44">
        <f t="shared" si="17"/>
        <v>211536.74153372878</v>
      </c>
      <c r="U22" s="44">
        <f t="shared" si="18"/>
        <v>211536.74153372878</v>
      </c>
      <c r="V22" s="44">
        <f t="shared" si="19"/>
        <v>224411.93380318399</v>
      </c>
      <c r="W22" s="44">
        <f t="shared" si="20"/>
        <v>224411.93380318399</v>
      </c>
      <c r="X22" s="44">
        <f t="shared" si="21"/>
        <v>224411.93380318399</v>
      </c>
      <c r="Y22" s="44">
        <f t="shared" si="22"/>
        <v>224411.93380318399</v>
      </c>
      <c r="Z22" s="44">
        <f t="shared" si="23"/>
        <v>224232.09352619518</v>
      </c>
      <c r="AA22" s="44">
        <f t="shared" si="24"/>
        <v>224232.09352619518</v>
      </c>
      <c r="AB22" s="44">
        <f t="shared" si="25"/>
        <v>224232.09352619518</v>
      </c>
      <c r="AC22" s="44">
        <f t="shared" si="26"/>
        <v>224232.09352619518</v>
      </c>
      <c r="AD22" s="44">
        <f t="shared" si="27"/>
        <v>224550.98190689119</v>
      </c>
      <c r="AE22" s="44">
        <f t="shared" si="28"/>
        <v>224550.98190689119</v>
      </c>
      <c r="AF22" s="44">
        <f t="shared" si="29"/>
        <v>224550.98190689119</v>
      </c>
      <c r="AG22" s="44">
        <f t="shared" si="30"/>
        <v>224550.98190689119</v>
      </c>
      <c r="AH22" s="44">
        <f t="shared" si="31"/>
        <v>224618.67326690158</v>
      </c>
      <c r="AI22" s="44">
        <f t="shared" si="32"/>
        <v>224618.67326690158</v>
      </c>
      <c r="AJ22" s="44">
        <f t="shared" si="33"/>
        <v>224618.67326690158</v>
      </c>
      <c r="AK22" s="44">
        <f t="shared" si="34"/>
        <v>224618.67326690158</v>
      </c>
      <c r="AL22" s="44">
        <f t="shared" si="35"/>
        <v>224395.26221932113</v>
      </c>
      <c r="AM22" s="44">
        <f t="shared" si="36"/>
        <v>224395.26221932113</v>
      </c>
      <c r="AN22" s="44">
        <f t="shared" si="37"/>
        <v>224395.26221932113</v>
      </c>
      <c r="AO22" s="44">
        <f t="shared" si="38"/>
        <v>224395.26221932113</v>
      </c>
      <c r="AP22" s="44">
        <f t="shared" si="39"/>
        <v>238217.42409982253</v>
      </c>
      <c r="AQ22" s="44">
        <f t="shared" si="40"/>
        <v>238217.42409982253</v>
      </c>
      <c r="AR22" s="44">
        <f t="shared" si="41"/>
        <v>238217.42409982253</v>
      </c>
      <c r="AS22" s="44">
        <f t="shared" si="42"/>
        <v>238217.42409982253</v>
      </c>
    </row>
    <row r="23" spans="1:45" x14ac:dyDescent="0.2">
      <c r="A23" s="4">
        <v>1975.1</v>
      </c>
      <c r="B23" s="44">
        <f>chainindex!AK23/chainindex!AK24*newbrowser!B24</f>
        <v>207708.07482722096</v>
      </c>
      <c r="C23" s="44">
        <f t="shared" si="0"/>
        <v>207920.84375283896</v>
      </c>
      <c r="D23" s="44">
        <f t="shared" si="1"/>
        <v>207920.84375283896</v>
      </c>
      <c r="E23" s="44">
        <f t="shared" si="2"/>
        <v>207920.84375283896</v>
      </c>
      <c r="F23" s="44">
        <f t="shared" si="3"/>
        <v>207920.84375283896</v>
      </c>
      <c r="G23" s="44">
        <f t="shared" si="4"/>
        <v>207823.61581672748</v>
      </c>
      <c r="H23" s="44">
        <f t="shared" si="5"/>
        <v>207823.61581672748</v>
      </c>
      <c r="I23" s="44">
        <f t="shared" si="6"/>
        <v>207823.61581672748</v>
      </c>
      <c r="J23" s="44">
        <f t="shared" si="7"/>
        <v>207823.61581672748</v>
      </c>
      <c r="K23" s="44">
        <f t="shared" si="8"/>
        <v>207823.61581672748</v>
      </c>
      <c r="L23" s="44">
        <f t="shared" si="9"/>
        <v>207823.61581672748</v>
      </c>
      <c r="M23" s="44">
        <f t="shared" si="10"/>
        <v>207823.61697853907</v>
      </c>
      <c r="N23" s="44">
        <f t="shared" si="11"/>
        <v>207844.87812855534</v>
      </c>
      <c r="O23" s="44">
        <f t="shared" si="12"/>
        <v>207844.87812855534</v>
      </c>
      <c r="P23" s="44">
        <f t="shared" si="13"/>
        <v>207844.87812855534</v>
      </c>
      <c r="Q23" s="44">
        <f t="shared" si="14"/>
        <v>207844.87812855534</v>
      </c>
      <c r="R23" s="44">
        <f t="shared" si="15"/>
        <v>207856.5543338921</v>
      </c>
      <c r="S23" s="44">
        <f t="shared" si="16"/>
        <v>207856.5543338921</v>
      </c>
      <c r="T23" s="44">
        <f t="shared" si="17"/>
        <v>207856.5543338921</v>
      </c>
      <c r="U23" s="44">
        <f t="shared" si="18"/>
        <v>207856.5543338921</v>
      </c>
      <c r="V23" s="44">
        <f t="shared" si="19"/>
        <v>220507.75186162093</v>
      </c>
      <c r="W23" s="44">
        <f t="shared" si="20"/>
        <v>220507.75186162093</v>
      </c>
      <c r="X23" s="44">
        <f t="shared" si="21"/>
        <v>220507.75186162093</v>
      </c>
      <c r="Y23" s="44">
        <f t="shared" si="22"/>
        <v>220507.75186162093</v>
      </c>
      <c r="Z23" s="44">
        <f t="shared" si="23"/>
        <v>220331.04033607544</v>
      </c>
      <c r="AA23" s="44">
        <f t="shared" si="24"/>
        <v>220331.04033607544</v>
      </c>
      <c r="AB23" s="44">
        <f t="shared" si="25"/>
        <v>220331.04033607544</v>
      </c>
      <c r="AC23" s="44">
        <f t="shared" si="26"/>
        <v>220331.04033607544</v>
      </c>
      <c r="AD23" s="44">
        <f t="shared" si="27"/>
        <v>220644.38089123389</v>
      </c>
      <c r="AE23" s="44">
        <f t="shared" si="28"/>
        <v>220644.38089123389</v>
      </c>
      <c r="AF23" s="44">
        <f t="shared" si="29"/>
        <v>220644.38089123389</v>
      </c>
      <c r="AG23" s="44">
        <f t="shared" si="30"/>
        <v>220644.38089123389</v>
      </c>
      <c r="AH23" s="44">
        <f t="shared" si="31"/>
        <v>220710.89459825197</v>
      </c>
      <c r="AI23" s="44">
        <f t="shared" si="32"/>
        <v>220710.89459825197</v>
      </c>
      <c r="AJ23" s="44">
        <f t="shared" si="33"/>
        <v>220710.89459825197</v>
      </c>
      <c r="AK23" s="44">
        <f t="shared" si="34"/>
        <v>220710.89459825197</v>
      </c>
      <c r="AL23" s="44">
        <f t="shared" si="35"/>
        <v>220491.37031980508</v>
      </c>
      <c r="AM23" s="44">
        <f t="shared" si="36"/>
        <v>220491.37031980508</v>
      </c>
      <c r="AN23" s="44">
        <f t="shared" si="37"/>
        <v>220491.37031980508</v>
      </c>
      <c r="AO23" s="44">
        <f t="shared" si="38"/>
        <v>220491.37031980508</v>
      </c>
      <c r="AP23" s="44">
        <f t="shared" si="39"/>
        <v>234073.06265890258</v>
      </c>
      <c r="AQ23" s="44">
        <f t="shared" si="40"/>
        <v>234073.06265890258</v>
      </c>
      <c r="AR23" s="44">
        <f t="shared" si="41"/>
        <v>234073.06265890258</v>
      </c>
      <c r="AS23" s="44">
        <f t="shared" si="42"/>
        <v>234073.06265890258</v>
      </c>
    </row>
    <row r="24" spans="1:45" x14ac:dyDescent="0.2">
      <c r="A24" s="4">
        <v>1975.2</v>
      </c>
      <c r="B24" s="44">
        <f>chainindex!AK24/chainindex!AK25*newbrowser!B25</f>
        <v>207601.97704588232</v>
      </c>
      <c r="C24" s="44">
        <f t="shared" si="0"/>
        <v>207814.63728862428</v>
      </c>
      <c r="D24" s="44">
        <f t="shared" si="1"/>
        <v>207814.63728862428</v>
      </c>
      <c r="E24" s="44">
        <f t="shared" si="2"/>
        <v>207814.63728862428</v>
      </c>
      <c r="F24" s="44">
        <f t="shared" si="3"/>
        <v>207814.63728862428</v>
      </c>
      <c r="G24" s="44">
        <f t="shared" si="4"/>
        <v>207717.45901677507</v>
      </c>
      <c r="H24" s="44">
        <f t="shared" si="5"/>
        <v>207717.45901677507</v>
      </c>
      <c r="I24" s="44">
        <f t="shared" si="6"/>
        <v>207717.45901677507</v>
      </c>
      <c r="J24" s="44">
        <f t="shared" si="7"/>
        <v>207717.45901677507</v>
      </c>
      <c r="K24" s="44">
        <f t="shared" si="8"/>
        <v>207717.45901677507</v>
      </c>
      <c r="L24" s="44">
        <f t="shared" si="9"/>
        <v>207717.45901677507</v>
      </c>
      <c r="M24" s="44">
        <f t="shared" si="10"/>
        <v>207717.4601779932</v>
      </c>
      <c r="N24" s="44">
        <f t="shared" si="11"/>
        <v>207738.71046776322</v>
      </c>
      <c r="O24" s="44">
        <f t="shared" si="12"/>
        <v>207738.71046776322</v>
      </c>
      <c r="P24" s="44">
        <f t="shared" si="13"/>
        <v>207738.71046776322</v>
      </c>
      <c r="Q24" s="44">
        <f t="shared" si="14"/>
        <v>207738.71046776322</v>
      </c>
      <c r="R24" s="44">
        <f t="shared" si="15"/>
        <v>207750.38070886637</v>
      </c>
      <c r="S24" s="44">
        <f t="shared" si="16"/>
        <v>207750.38070886637</v>
      </c>
      <c r="T24" s="44">
        <f t="shared" si="17"/>
        <v>207750.38070886637</v>
      </c>
      <c r="U24" s="44">
        <f t="shared" si="18"/>
        <v>207750.38070886637</v>
      </c>
      <c r="V24" s="44">
        <f t="shared" si="19"/>
        <v>220395.11597464373</v>
      </c>
      <c r="W24" s="44">
        <f t="shared" si="20"/>
        <v>220395.11597464373</v>
      </c>
      <c r="X24" s="44">
        <f t="shared" si="21"/>
        <v>220395.11597464373</v>
      </c>
      <c r="Y24" s="44">
        <f t="shared" si="22"/>
        <v>220395.11597464373</v>
      </c>
      <c r="Z24" s="44">
        <f t="shared" si="23"/>
        <v>220218.49471376807</v>
      </c>
      <c r="AA24" s="44">
        <f t="shared" si="24"/>
        <v>220218.49471376807</v>
      </c>
      <c r="AB24" s="44">
        <f t="shared" si="25"/>
        <v>220218.49471376807</v>
      </c>
      <c r="AC24" s="44">
        <f t="shared" si="26"/>
        <v>220218.49471376807</v>
      </c>
      <c r="AD24" s="44">
        <f t="shared" si="27"/>
        <v>220531.67521382161</v>
      </c>
      <c r="AE24" s="44">
        <f t="shared" si="28"/>
        <v>220531.67521382161</v>
      </c>
      <c r="AF24" s="44">
        <f t="shared" si="29"/>
        <v>220531.67521382161</v>
      </c>
      <c r="AG24" s="44">
        <f t="shared" si="30"/>
        <v>220531.67521382161</v>
      </c>
      <c r="AH24" s="44">
        <f t="shared" si="31"/>
        <v>220598.15494547909</v>
      </c>
      <c r="AI24" s="44">
        <f t="shared" si="32"/>
        <v>220598.15494547909</v>
      </c>
      <c r="AJ24" s="44">
        <f t="shared" si="33"/>
        <v>220598.15494547909</v>
      </c>
      <c r="AK24" s="44">
        <f t="shared" si="34"/>
        <v>220598.15494547909</v>
      </c>
      <c r="AL24" s="44">
        <f t="shared" si="35"/>
        <v>220378.7428005586</v>
      </c>
      <c r="AM24" s="44">
        <f t="shared" si="36"/>
        <v>220378.7428005586</v>
      </c>
      <c r="AN24" s="44">
        <f t="shared" si="37"/>
        <v>220378.7428005586</v>
      </c>
      <c r="AO24" s="44">
        <f t="shared" si="38"/>
        <v>220378.7428005586</v>
      </c>
      <c r="AP24" s="44">
        <f t="shared" si="39"/>
        <v>233953.49757872979</v>
      </c>
      <c r="AQ24" s="44">
        <f t="shared" si="40"/>
        <v>233953.49757872979</v>
      </c>
      <c r="AR24" s="44">
        <f t="shared" si="41"/>
        <v>233953.49757872979</v>
      </c>
      <c r="AS24" s="44">
        <f t="shared" si="42"/>
        <v>233953.49757872979</v>
      </c>
    </row>
    <row r="25" spans="1:45" x14ac:dyDescent="0.2">
      <c r="A25" s="4">
        <v>1975.3</v>
      </c>
      <c r="B25" s="44">
        <f>chainindex!AK25/chainindex!AK26*newbrowser!B26</f>
        <v>210551.79423408731</v>
      </c>
      <c r="C25" s="44">
        <f t="shared" si="0"/>
        <v>210767.47616693171</v>
      </c>
      <c r="D25" s="44">
        <f t="shared" si="1"/>
        <v>210767.47616693171</v>
      </c>
      <c r="E25" s="44">
        <f t="shared" si="2"/>
        <v>210767.47616693171</v>
      </c>
      <c r="F25" s="44">
        <f t="shared" si="3"/>
        <v>210767.47616693171</v>
      </c>
      <c r="G25" s="44">
        <f t="shared" si="4"/>
        <v>210668.91708869184</v>
      </c>
      <c r="H25" s="44">
        <f t="shared" si="5"/>
        <v>210668.91708869184</v>
      </c>
      <c r="I25" s="44">
        <f t="shared" si="6"/>
        <v>210668.91708869184</v>
      </c>
      <c r="J25" s="44">
        <f t="shared" si="7"/>
        <v>210668.91708869184</v>
      </c>
      <c r="K25" s="44">
        <f t="shared" si="8"/>
        <v>210668.91708869184</v>
      </c>
      <c r="L25" s="44">
        <f t="shared" si="9"/>
        <v>210668.91708869184</v>
      </c>
      <c r="M25" s="44">
        <f t="shared" si="10"/>
        <v>210668.91826640972</v>
      </c>
      <c r="N25" s="44">
        <f t="shared" si="11"/>
        <v>210690.47050161834</v>
      </c>
      <c r="O25" s="44">
        <f t="shared" si="12"/>
        <v>210690.47050161834</v>
      </c>
      <c r="P25" s="44">
        <f t="shared" si="13"/>
        <v>210690.47050161834</v>
      </c>
      <c r="Q25" s="44">
        <f t="shared" si="14"/>
        <v>210690.47050161834</v>
      </c>
      <c r="R25" s="44">
        <f t="shared" si="15"/>
        <v>210702.30656521648</v>
      </c>
      <c r="S25" s="44">
        <f t="shared" si="16"/>
        <v>210702.30656521648</v>
      </c>
      <c r="T25" s="44">
        <f t="shared" si="17"/>
        <v>210702.30656521648</v>
      </c>
      <c r="U25" s="44">
        <f t="shared" si="18"/>
        <v>210702.30656521648</v>
      </c>
      <c r="V25" s="44">
        <f t="shared" si="19"/>
        <v>223526.71091679955</v>
      </c>
      <c r="W25" s="44">
        <f t="shared" si="20"/>
        <v>223526.71091679955</v>
      </c>
      <c r="X25" s="44">
        <f t="shared" si="21"/>
        <v>223526.71091679955</v>
      </c>
      <c r="Y25" s="44">
        <f t="shared" si="22"/>
        <v>223526.71091679955</v>
      </c>
      <c r="Z25" s="44">
        <f t="shared" si="23"/>
        <v>223347.58004383568</v>
      </c>
      <c r="AA25" s="44">
        <f t="shared" si="24"/>
        <v>223347.58004383568</v>
      </c>
      <c r="AB25" s="44">
        <f t="shared" si="25"/>
        <v>223347.58004383568</v>
      </c>
      <c r="AC25" s="44">
        <f t="shared" si="26"/>
        <v>223347.58004383568</v>
      </c>
      <c r="AD25" s="44">
        <f t="shared" si="27"/>
        <v>223665.21052666497</v>
      </c>
      <c r="AE25" s="44">
        <f t="shared" si="28"/>
        <v>223665.21052666497</v>
      </c>
      <c r="AF25" s="44">
        <f t="shared" si="29"/>
        <v>223665.21052666497</v>
      </c>
      <c r="AG25" s="44">
        <f t="shared" si="30"/>
        <v>223665.21052666497</v>
      </c>
      <c r="AH25" s="44">
        <f t="shared" si="31"/>
        <v>223732.63486905256</v>
      </c>
      <c r="AI25" s="44">
        <f t="shared" si="32"/>
        <v>223732.63486905256</v>
      </c>
      <c r="AJ25" s="44">
        <f t="shared" si="33"/>
        <v>223732.63486905256</v>
      </c>
      <c r="AK25" s="44">
        <f t="shared" si="34"/>
        <v>223732.63486905256</v>
      </c>
      <c r="AL25" s="44">
        <f t="shared" si="35"/>
        <v>223510.10509622892</v>
      </c>
      <c r="AM25" s="44">
        <f t="shared" si="36"/>
        <v>223510.10509622892</v>
      </c>
      <c r="AN25" s="44">
        <f t="shared" si="37"/>
        <v>223510.10509622892</v>
      </c>
      <c r="AO25" s="44">
        <f t="shared" si="38"/>
        <v>223510.10509622892</v>
      </c>
      <c r="AP25" s="44">
        <f t="shared" si="39"/>
        <v>237277.74361057699</v>
      </c>
      <c r="AQ25" s="44">
        <f t="shared" si="40"/>
        <v>237277.74361057699</v>
      </c>
      <c r="AR25" s="44">
        <f t="shared" si="41"/>
        <v>237277.74361057699</v>
      </c>
      <c r="AS25" s="44">
        <f t="shared" si="42"/>
        <v>237277.74361057699</v>
      </c>
    </row>
    <row r="26" spans="1:45" x14ac:dyDescent="0.2">
      <c r="A26" s="4">
        <v>1975.4</v>
      </c>
      <c r="B26" s="44">
        <f>chainindex!AK26/chainindex!AK27*newbrowser!B27</f>
        <v>212911.34911766168</v>
      </c>
      <c r="C26" s="44">
        <f t="shared" si="0"/>
        <v>213129.44809643907</v>
      </c>
      <c r="D26" s="44">
        <f t="shared" si="1"/>
        <v>213129.44809643907</v>
      </c>
      <c r="E26" s="44">
        <f t="shared" si="2"/>
        <v>213129.44809643907</v>
      </c>
      <c r="F26" s="44">
        <f t="shared" si="3"/>
        <v>213129.44809643907</v>
      </c>
      <c r="G26" s="44">
        <f t="shared" si="4"/>
        <v>213029.78451298599</v>
      </c>
      <c r="H26" s="44">
        <f t="shared" si="5"/>
        <v>213029.78451298599</v>
      </c>
      <c r="I26" s="44">
        <f t="shared" si="6"/>
        <v>213029.78451298599</v>
      </c>
      <c r="J26" s="44">
        <f t="shared" si="7"/>
        <v>213029.78451298599</v>
      </c>
      <c r="K26" s="44">
        <f t="shared" si="8"/>
        <v>213029.78451298599</v>
      </c>
      <c r="L26" s="44">
        <f t="shared" si="9"/>
        <v>213029.78451298599</v>
      </c>
      <c r="M26" s="44">
        <f t="shared" si="10"/>
        <v>213029.78570390199</v>
      </c>
      <c r="N26" s="44">
        <f t="shared" si="11"/>
        <v>213051.57946486928</v>
      </c>
      <c r="O26" s="44">
        <f t="shared" si="12"/>
        <v>213051.57946486928</v>
      </c>
      <c r="P26" s="44">
        <f t="shared" si="13"/>
        <v>213051.57946486928</v>
      </c>
      <c r="Q26" s="44">
        <f t="shared" si="14"/>
        <v>213051.57946486928</v>
      </c>
      <c r="R26" s="44">
        <f t="shared" si="15"/>
        <v>213063.54816966274</v>
      </c>
      <c r="S26" s="44">
        <f t="shared" si="16"/>
        <v>213063.54816966274</v>
      </c>
      <c r="T26" s="44">
        <f t="shared" si="17"/>
        <v>213063.54816966274</v>
      </c>
      <c r="U26" s="44">
        <f t="shared" si="18"/>
        <v>213063.54816966274</v>
      </c>
      <c r="V26" s="44">
        <f t="shared" si="19"/>
        <v>226031.66958633557</v>
      </c>
      <c r="W26" s="44">
        <f t="shared" si="20"/>
        <v>226031.66958633557</v>
      </c>
      <c r="X26" s="44">
        <f t="shared" si="21"/>
        <v>226031.66958633557</v>
      </c>
      <c r="Y26" s="44">
        <f t="shared" si="22"/>
        <v>226031.66958633557</v>
      </c>
      <c r="Z26" s="44">
        <f t="shared" si="23"/>
        <v>225850.53127796782</v>
      </c>
      <c r="AA26" s="44">
        <f t="shared" si="24"/>
        <v>225850.53127796782</v>
      </c>
      <c r="AB26" s="44">
        <f t="shared" si="25"/>
        <v>225850.53127796782</v>
      </c>
      <c r="AC26" s="44">
        <f t="shared" si="26"/>
        <v>225850.53127796782</v>
      </c>
      <c r="AD26" s="44">
        <f t="shared" si="27"/>
        <v>226171.72129615827</v>
      </c>
      <c r="AE26" s="44">
        <f t="shared" si="28"/>
        <v>226171.72129615827</v>
      </c>
      <c r="AF26" s="44">
        <f t="shared" si="29"/>
        <v>226171.72129615827</v>
      </c>
      <c r="AG26" s="44">
        <f t="shared" si="30"/>
        <v>226171.72129615827</v>
      </c>
      <c r="AH26" s="44">
        <f t="shared" si="31"/>
        <v>226239.90123142471</v>
      </c>
      <c r="AI26" s="44">
        <f t="shared" si="32"/>
        <v>226239.90123142471</v>
      </c>
      <c r="AJ26" s="44">
        <f t="shared" si="33"/>
        <v>226239.90123142471</v>
      </c>
      <c r="AK26" s="44">
        <f t="shared" si="34"/>
        <v>226239.90123142471</v>
      </c>
      <c r="AL26" s="44">
        <f t="shared" si="35"/>
        <v>226014.87767214762</v>
      </c>
      <c r="AM26" s="44">
        <f t="shared" si="36"/>
        <v>226014.87767214762</v>
      </c>
      <c r="AN26" s="44">
        <f t="shared" si="37"/>
        <v>226014.87767214762</v>
      </c>
      <c r="AO26" s="44">
        <f t="shared" si="38"/>
        <v>226014.87767214762</v>
      </c>
      <c r="AP26" s="44">
        <f t="shared" si="39"/>
        <v>239936.80363301205</v>
      </c>
      <c r="AQ26" s="44">
        <f t="shared" si="40"/>
        <v>239936.80363301205</v>
      </c>
      <c r="AR26" s="44">
        <f t="shared" si="41"/>
        <v>239936.80363301205</v>
      </c>
      <c r="AS26" s="44">
        <f t="shared" si="42"/>
        <v>239936.80363301205</v>
      </c>
    </row>
    <row r="27" spans="1:45" x14ac:dyDescent="0.2">
      <c r="A27" s="4">
        <v>1976.1</v>
      </c>
      <c r="B27" s="44">
        <f>chainindex!AK27/chainindex!AK28*newbrowser!B28</f>
        <v>216662.12983822628</v>
      </c>
      <c r="C27" s="44">
        <f t="shared" si="0"/>
        <v>216884.07098628287</v>
      </c>
      <c r="D27" s="44">
        <f t="shared" si="1"/>
        <v>216884.07098628287</v>
      </c>
      <c r="E27" s="44">
        <f t="shared" si="2"/>
        <v>216884.07098628287</v>
      </c>
      <c r="F27" s="44">
        <f t="shared" si="3"/>
        <v>216884.07098628287</v>
      </c>
      <c r="G27" s="44">
        <f t="shared" si="4"/>
        <v>216782.65166623375</v>
      </c>
      <c r="H27" s="44">
        <f t="shared" si="5"/>
        <v>216782.65166623375</v>
      </c>
      <c r="I27" s="44">
        <f t="shared" si="6"/>
        <v>216782.65166623375</v>
      </c>
      <c r="J27" s="44">
        <f t="shared" si="7"/>
        <v>216782.65166623375</v>
      </c>
      <c r="K27" s="44">
        <f t="shared" si="8"/>
        <v>216782.65166623375</v>
      </c>
      <c r="L27" s="44">
        <f t="shared" si="9"/>
        <v>216782.65166623375</v>
      </c>
      <c r="M27" s="44">
        <f t="shared" si="10"/>
        <v>216782.65287812968</v>
      </c>
      <c r="N27" s="44">
        <f t="shared" si="11"/>
        <v>216804.83057174689</v>
      </c>
      <c r="O27" s="44">
        <f t="shared" si="12"/>
        <v>216804.83057174689</v>
      </c>
      <c r="P27" s="44">
        <f t="shared" si="13"/>
        <v>216804.83057174689</v>
      </c>
      <c r="Q27" s="44">
        <f t="shared" si="14"/>
        <v>216804.83057174689</v>
      </c>
      <c r="R27" s="44">
        <f t="shared" si="15"/>
        <v>216817.01012479889</v>
      </c>
      <c r="S27" s="44">
        <f t="shared" si="16"/>
        <v>216817.01012479889</v>
      </c>
      <c r="T27" s="44">
        <f t="shared" si="17"/>
        <v>216817.01012479889</v>
      </c>
      <c r="U27" s="44">
        <f t="shared" si="18"/>
        <v>216817.01012479889</v>
      </c>
      <c r="V27" s="44">
        <f t="shared" si="19"/>
        <v>230013.58615412234</v>
      </c>
      <c r="W27" s="44">
        <f t="shared" si="20"/>
        <v>230013.58615412234</v>
      </c>
      <c r="X27" s="44">
        <f t="shared" si="21"/>
        <v>230013.58615412234</v>
      </c>
      <c r="Y27" s="44">
        <f t="shared" si="22"/>
        <v>230013.58615412234</v>
      </c>
      <c r="Z27" s="44">
        <f t="shared" si="23"/>
        <v>229829.25679897575</v>
      </c>
      <c r="AA27" s="44">
        <f t="shared" si="24"/>
        <v>229829.25679897575</v>
      </c>
      <c r="AB27" s="44">
        <f t="shared" si="25"/>
        <v>229829.25679897575</v>
      </c>
      <c r="AC27" s="44">
        <f t="shared" si="26"/>
        <v>229829.25679897575</v>
      </c>
      <c r="AD27" s="44">
        <f t="shared" si="27"/>
        <v>230156.1051032691</v>
      </c>
      <c r="AE27" s="44">
        <f t="shared" si="28"/>
        <v>230156.1051032691</v>
      </c>
      <c r="AF27" s="44">
        <f t="shared" si="29"/>
        <v>230156.1051032691</v>
      </c>
      <c r="AG27" s="44">
        <f t="shared" si="30"/>
        <v>230156.1051032691</v>
      </c>
      <c r="AH27" s="44">
        <f t="shared" si="31"/>
        <v>230225.48613931192</v>
      </c>
      <c r="AI27" s="44">
        <f t="shared" si="32"/>
        <v>230225.48613931192</v>
      </c>
      <c r="AJ27" s="44">
        <f t="shared" si="33"/>
        <v>230225.48613931192</v>
      </c>
      <c r="AK27" s="44">
        <f t="shared" si="34"/>
        <v>230225.48613931192</v>
      </c>
      <c r="AL27" s="44">
        <f t="shared" si="35"/>
        <v>229996.49842297458</v>
      </c>
      <c r="AM27" s="44">
        <f t="shared" si="36"/>
        <v>229996.49842297458</v>
      </c>
      <c r="AN27" s="44">
        <f t="shared" si="37"/>
        <v>229996.49842297458</v>
      </c>
      <c r="AO27" s="44">
        <f t="shared" si="38"/>
        <v>229996.49842297458</v>
      </c>
      <c r="AP27" s="44">
        <f t="shared" si="39"/>
        <v>244163.68181940334</v>
      </c>
      <c r="AQ27" s="44">
        <f t="shared" si="40"/>
        <v>244163.68181940334</v>
      </c>
      <c r="AR27" s="44">
        <f t="shared" si="41"/>
        <v>244163.68181940334</v>
      </c>
      <c r="AS27" s="44">
        <f t="shared" si="42"/>
        <v>244163.68181940334</v>
      </c>
    </row>
    <row r="28" spans="1:45" x14ac:dyDescent="0.2">
      <c r="A28" s="4">
        <v>1976.2</v>
      </c>
      <c r="B28" s="44">
        <f>chainindex!AK28/chainindex!AK29*newbrowser!B29</f>
        <v>220578.78173806684</v>
      </c>
      <c r="C28" s="44">
        <f t="shared" si="0"/>
        <v>220804.73496806796</v>
      </c>
      <c r="D28" s="44">
        <f t="shared" si="1"/>
        <v>220804.73496806796</v>
      </c>
      <c r="E28" s="44">
        <f t="shared" si="2"/>
        <v>220804.73496806796</v>
      </c>
      <c r="F28" s="44">
        <f t="shared" si="3"/>
        <v>220804.73496806796</v>
      </c>
      <c r="G28" s="44">
        <f t="shared" si="4"/>
        <v>220701.48226729446</v>
      </c>
      <c r="H28" s="44">
        <f t="shared" si="5"/>
        <v>220701.48226729446</v>
      </c>
      <c r="I28" s="44">
        <f t="shared" si="6"/>
        <v>220701.48226729446</v>
      </c>
      <c r="J28" s="44">
        <f t="shared" si="7"/>
        <v>220701.48226729446</v>
      </c>
      <c r="K28" s="44">
        <f t="shared" si="8"/>
        <v>220701.48226729446</v>
      </c>
      <c r="L28" s="44">
        <f t="shared" si="9"/>
        <v>220701.48226729446</v>
      </c>
      <c r="M28" s="44">
        <f t="shared" si="10"/>
        <v>220701.48350109812</v>
      </c>
      <c r="N28" s="44">
        <f t="shared" si="11"/>
        <v>220724.06210606013</v>
      </c>
      <c r="O28" s="44">
        <f t="shared" si="12"/>
        <v>220724.06210606013</v>
      </c>
      <c r="P28" s="44">
        <f t="shared" si="13"/>
        <v>220724.06210606013</v>
      </c>
      <c r="Q28" s="44">
        <f t="shared" si="14"/>
        <v>220724.06210606013</v>
      </c>
      <c r="R28" s="44">
        <f t="shared" si="15"/>
        <v>220736.46183173591</v>
      </c>
      <c r="S28" s="44">
        <f t="shared" si="16"/>
        <v>220736.46183173591</v>
      </c>
      <c r="T28" s="44">
        <f t="shared" si="17"/>
        <v>220736.46183173591</v>
      </c>
      <c r="U28" s="44">
        <f t="shared" si="18"/>
        <v>220736.46183173591</v>
      </c>
      <c r="V28" s="44">
        <f t="shared" si="19"/>
        <v>234171.59544662002</v>
      </c>
      <c r="W28" s="44">
        <f t="shared" si="20"/>
        <v>234171.59544662002</v>
      </c>
      <c r="X28" s="44">
        <f t="shared" si="21"/>
        <v>234171.59544662002</v>
      </c>
      <c r="Y28" s="44">
        <f t="shared" si="22"/>
        <v>234171.59544662002</v>
      </c>
      <c r="Z28" s="44">
        <f t="shared" si="23"/>
        <v>233983.93392668964</v>
      </c>
      <c r="AA28" s="44">
        <f t="shared" si="24"/>
        <v>233983.93392668964</v>
      </c>
      <c r="AB28" s="44">
        <f t="shared" si="25"/>
        <v>233983.93392668964</v>
      </c>
      <c r="AC28" s="44">
        <f t="shared" si="26"/>
        <v>233983.93392668964</v>
      </c>
      <c r="AD28" s="44">
        <f t="shared" si="27"/>
        <v>234316.6907440809</v>
      </c>
      <c r="AE28" s="44">
        <f t="shared" si="28"/>
        <v>234316.6907440809</v>
      </c>
      <c r="AF28" s="44">
        <f t="shared" si="29"/>
        <v>234316.6907440809</v>
      </c>
      <c r="AG28" s="44">
        <f t="shared" si="30"/>
        <v>234316.6907440809</v>
      </c>
      <c r="AH28" s="44">
        <f t="shared" si="31"/>
        <v>234387.32599730894</v>
      </c>
      <c r="AI28" s="44">
        <f t="shared" si="32"/>
        <v>234387.32599730894</v>
      </c>
      <c r="AJ28" s="44">
        <f t="shared" si="33"/>
        <v>234387.32599730894</v>
      </c>
      <c r="AK28" s="44">
        <f t="shared" si="34"/>
        <v>234387.32599730894</v>
      </c>
      <c r="AL28" s="44">
        <f t="shared" si="35"/>
        <v>234154.19881656725</v>
      </c>
      <c r="AM28" s="44">
        <f t="shared" si="36"/>
        <v>234154.19881656725</v>
      </c>
      <c r="AN28" s="44">
        <f t="shared" si="37"/>
        <v>234154.19881656725</v>
      </c>
      <c r="AO28" s="44">
        <f t="shared" si="38"/>
        <v>234154.19881656725</v>
      </c>
      <c r="AP28" s="44">
        <f t="shared" si="39"/>
        <v>248577.48569451558</v>
      </c>
      <c r="AQ28" s="44">
        <f t="shared" si="40"/>
        <v>248577.48569451558</v>
      </c>
      <c r="AR28" s="44">
        <f t="shared" si="41"/>
        <v>248577.48569451558</v>
      </c>
      <c r="AS28" s="44">
        <f t="shared" si="42"/>
        <v>248577.48569451558</v>
      </c>
    </row>
    <row r="29" spans="1:45" x14ac:dyDescent="0.2">
      <c r="A29" s="4">
        <v>1976.3</v>
      </c>
      <c r="B29" s="44">
        <f>chainindex!AK29/chainindex!AK30*newbrowser!B30</f>
        <v>226184.03212963574</v>
      </c>
      <c r="C29" s="44">
        <f t="shared" si="0"/>
        <v>226415.72718312941</v>
      </c>
      <c r="D29" s="44">
        <f t="shared" si="1"/>
        <v>226415.72718312941</v>
      </c>
      <c r="E29" s="44">
        <f t="shared" si="2"/>
        <v>226415.72718312941</v>
      </c>
      <c r="F29" s="44">
        <f t="shared" si="3"/>
        <v>226415.72718312941</v>
      </c>
      <c r="G29" s="44">
        <f t="shared" si="4"/>
        <v>226309.85067041495</v>
      </c>
      <c r="H29" s="44">
        <f t="shared" si="5"/>
        <v>226309.85067041495</v>
      </c>
      <c r="I29" s="44">
        <f t="shared" si="6"/>
        <v>226309.85067041495</v>
      </c>
      <c r="J29" s="44">
        <f t="shared" si="7"/>
        <v>226309.85067041495</v>
      </c>
      <c r="K29" s="44">
        <f t="shared" si="8"/>
        <v>226309.85067041495</v>
      </c>
      <c r="L29" s="44">
        <f t="shared" si="9"/>
        <v>226309.85067041495</v>
      </c>
      <c r="M29" s="44">
        <f t="shared" si="10"/>
        <v>226309.8519355715</v>
      </c>
      <c r="N29" s="44">
        <f t="shared" si="11"/>
        <v>226333.00429805135</v>
      </c>
      <c r="O29" s="44">
        <f t="shared" si="12"/>
        <v>226333.00429805135</v>
      </c>
      <c r="P29" s="44">
        <f t="shared" si="13"/>
        <v>226333.00429805135</v>
      </c>
      <c r="Q29" s="44">
        <f t="shared" si="14"/>
        <v>226333.00429805135</v>
      </c>
      <c r="R29" s="44">
        <f t="shared" si="15"/>
        <v>226345.71912006894</v>
      </c>
      <c r="S29" s="44">
        <f t="shared" si="16"/>
        <v>226345.71912006894</v>
      </c>
      <c r="T29" s="44">
        <f t="shared" si="17"/>
        <v>226345.71912006894</v>
      </c>
      <c r="U29" s="44">
        <f t="shared" si="18"/>
        <v>226345.71912006894</v>
      </c>
      <c r="V29" s="44">
        <f t="shared" si="19"/>
        <v>240122.26040509349</v>
      </c>
      <c r="W29" s="44">
        <f t="shared" si="20"/>
        <v>240122.26040509349</v>
      </c>
      <c r="X29" s="44">
        <f t="shared" si="21"/>
        <v>240122.26040509349</v>
      </c>
      <c r="Y29" s="44">
        <f t="shared" si="22"/>
        <v>240122.26040509349</v>
      </c>
      <c r="Z29" s="44">
        <f t="shared" si="23"/>
        <v>239929.83011366214</v>
      </c>
      <c r="AA29" s="44">
        <f t="shared" si="24"/>
        <v>239929.83011366214</v>
      </c>
      <c r="AB29" s="44">
        <f t="shared" si="25"/>
        <v>239929.83011366214</v>
      </c>
      <c r="AC29" s="44">
        <f t="shared" si="26"/>
        <v>239929.83011366214</v>
      </c>
      <c r="AD29" s="44">
        <f t="shared" si="27"/>
        <v>240271.04280004627</v>
      </c>
      <c r="AE29" s="44">
        <f t="shared" si="28"/>
        <v>240271.04280004627</v>
      </c>
      <c r="AF29" s="44">
        <f t="shared" si="29"/>
        <v>240271.04280004627</v>
      </c>
      <c r="AG29" s="44">
        <f t="shared" si="30"/>
        <v>240271.04280004627</v>
      </c>
      <c r="AH29" s="44">
        <f t="shared" si="31"/>
        <v>240343.47300507204</v>
      </c>
      <c r="AI29" s="44">
        <f t="shared" si="32"/>
        <v>240343.47300507204</v>
      </c>
      <c r="AJ29" s="44">
        <f t="shared" si="33"/>
        <v>240343.47300507204</v>
      </c>
      <c r="AK29" s="44">
        <f t="shared" si="34"/>
        <v>240343.47300507204</v>
      </c>
      <c r="AL29" s="44">
        <f t="shared" si="35"/>
        <v>240104.42169957617</v>
      </c>
      <c r="AM29" s="44">
        <f t="shared" si="36"/>
        <v>240104.42169957617</v>
      </c>
      <c r="AN29" s="44">
        <f t="shared" si="37"/>
        <v>240104.42169957617</v>
      </c>
      <c r="AO29" s="44">
        <f t="shared" si="38"/>
        <v>240104.42169957617</v>
      </c>
      <c r="AP29" s="44">
        <f t="shared" si="39"/>
        <v>254894.22676111085</v>
      </c>
      <c r="AQ29" s="44">
        <f t="shared" si="40"/>
        <v>254894.22676111085</v>
      </c>
      <c r="AR29" s="44">
        <f t="shared" si="41"/>
        <v>254894.22676111085</v>
      </c>
      <c r="AS29" s="44">
        <f t="shared" si="42"/>
        <v>254894.22676111085</v>
      </c>
    </row>
    <row r="30" spans="1:45" x14ac:dyDescent="0.2">
      <c r="A30" s="4">
        <v>1976.4</v>
      </c>
      <c r="B30" s="44">
        <f>chainindex!AK30/chainindex!AK31*newbrowser!B31</f>
        <v>230108.15570421846</v>
      </c>
      <c r="C30" s="44">
        <f t="shared" si="0"/>
        <v>230343.87049338032</v>
      </c>
      <c r="D30" s="44">
        <f t="shared" si="1"/>
        <v>230343.87049338032</v>
      </c>
      <c r="E30" s="44">
        <f t="shared" si="2"/>
        <v>230343.87049338032</v>
      </c>
      <c r="F30" s="44">
        <f t="shared" si="3"/>
        <v>230343.87049338032</v>
      </c>
      <c r="G30" s="44">
        <f t="shared" si="4"/>
        <v>230236.15710245821</v>
      </c>
      <c r="H30" s="44">
        <f t="shared" si="5"/>
        <v>230236.15710245821</v>
      </c>
      <c r="I30" s="44">
        <f t="shared" si="6"/>
        <v>230236.15710245821</v>
      </c>
      <c r="J30" s="44">
        <f t="shared" si="7"/>
        <v>230236.15710245821</v>
      </c>
      <c r="K30" s="44">
        <f t="shared" si="8"/>
        <v>230236.15710245821</v>
      </c>
      <c r="L30" s="44">
        <f t="shared" si="9"/>
        <v>230236.15710245821</v>
      </c>
      <c r="M30" s="44">
        <f t="shared" si="10"/>
        <v>230236.15838956428</v>
      </c>
      <c r="N30" s="44">
        <f t="shared" si="11"/>
        <v>230259.71242819499</v>
      </c>
      <c r="O30" s="44">
        <f t="shared" si="12"/>
        <v>230259.71242819499</v>
      </c>
      <c r="P30" s="44">
        <f t="shared" si="13"/>
        <v>230259.71242819499</v>
      </c>
      <c r="Q30" s="44">
        <f t="shared" si="14"/>
        <v>230259.71242819499</v>
      </c>
      <c r="R30" s="44">
        <f t="shared" si="15"/>
        <v>230272.64784285284</v>
      </c>
      <c r="S30" s="44">
        <f t="shared" si="16"/>
        <v>230272.64784285284</v>
      </c>
      <c r="T30" s="44">
        <f t="shared" si="17"/>
        <v>230272.64784285284</v>
      </c>
      <c r="U30" s="44">
        <f t="shared" si="18"/>
        <v>230272.64784285284</v>
      </c>
      <c r="V30" s="44">
        <f t="shared" si="19"/>
        <v>244288.20180230786</v>
      </c>
      <c r="W30" s="44">
        <f t="shared" si="20"/>
        <v>244288.20180230786</v>
      </c>
      <c r="X30" s="44">
        <f t="shared" si="21"/>
        <v>244288.20180230786</v>
      </c>
      <c r="Y30" s="44">
        <f t="shared" si="22"/>
        <v>244288.20180230786</v>
      </c>
      <c r="Z30" s="44">
        <f t="shared" si="23"/>
        <v>244092.43298942581</v>
      </c>
      <c r="AA30" s="44">
        <f t="shared" si="24"/>
        <v>244092.43298942581</v>
      </c>
      <c r="AB30" s="44">
        <f t="shared" si="25"/>
        <v>244092.43298942581</v>
      </c>
      <c r="AC30" s="44">
        <f t="shared" si="26"/>
        <v>244092.43298942581</v>
      </c>
      <c r="AD30" s="44">
        <f t="shared" si="27"/>
        <v>244439.56546039411</v>
      </c>
      <c r="AE30" s="44">
        <f t="shared" si="28"/>
        <v>244439.56546039411</v>
      </c>
      <c r="AF30" s="44">
        <f t="shared" si="29"/>
        <v>244439.56546039411</v>
      </c>
      <c r="AG30" s="44">
        <f t="shared" si="30"/>
        <v>244439.56546039411</v>
      </c>
      <c r="AH30" s="44">
        <f t="shared" si="31"/>
        <v>244513.25227523613</v>
      </c>
      <c r="AI30" s="44">
        <f t="shared" si="32"/>
        <v>244513.25227523613</v>
      </c>
      <c r="AJ30" s="44">
        <f t="shared" si="33"/>
        <v>244513.25227523613</v>
      </c>
      <c r="AK30" s="44">
        <f t="shared" si="34"/>
        <v>244513.25227523613</v>
      </c>
      <c r="AL30" s="44">
        <f t="shared" si="35"/>
        <v>244270.05360860869</v>
      </c>
      <c r="AM30" s="44">
        <f t="shared" si="36"/>
        <v>244270.05360860869</v>
      </c>
      <c r="AN30" s="44">
        <f t="shared" si="37"/>
        <v>244270.05360860869</v>
      </c>
      <c r="AO30" s="44">
        <f t="shared" si="38"/>
        <v>244270.05360860869</v>
      </c>
      <c r="AP30" s="44">
        <f t="shared" si="39"/>
        <v>259316.45071229155</v>
      </c>
      <c r="AQ30" s="44">
        <f t="shared" si="40"/>
        <v>259316.45071229155</v>
      </c>
      <c r="AR30" s="44">
        <f t="shared" si="41"/>
        <v>259316.45071229155</v>
      </c>
      <c r="AS30" s="44">
        <f t="shared" si="42"/>
        <v>259316.45071229155</v>
      </c>
    </row>
    <row r="31" spans="1:45" x14ac:dyDescent="0.2">
      <c r="A31" s="4">
        <v>1977.1</v>
      </c>
      <c r="B31" s="44">
        <f>chainindex!AK31/chainindex!AK32*newbrowser!B32</f>
        <v>230199.31013607286</v>
      </c>
      <c r="C31" s="44">
        <f t="shared" si="0"/>
        <v>230435.11830066342</v>
      </c>
      <c r="D31" s="44">
        <f t="shared" si="1"/>
        <v>230435.11830066342</v>
      </c>
      <c r="E31" s="44">
        <f t="shared" si="2"/>
        <v>230435.11830066342</v>
      </c>
      <c r="F31" s="44">
        <f t="shared" si="3"/>
        <v>230435.11830066342</v>
      </c>
      <c r="G31" s="44">
        <f t="shared" si="4"/>
        <v>230327.36224044554</v>
      </c>
      <c r="H31" s="44">
        <f t="shared" si="5"/>
        <v>230327.36224044554</v>
      </c>
      <c r="I31" s="44">
        <f t="shared" si="6"/>
        <v>230327.36224044554</v>
      </c>
      <c r="J31" s="44">
        <f t="shared" si="7"/>
        <v>230327.36224044554</v>
      </c>
      <c r="K31" s="44">
        <f t="shared" si="8"/>
        <v>230327.36224044554</v>
      </c>
      <c r="L31" s="44">
        <f t="shared" si="9"/>
        <v>230327.36224044554</v>
      </c>
      <c r="M31" s="44">
        <f t="shared" si="10"/>
        <v>230327.36352806148</v>
      </c>
      <c r="N31" s="44">
        <f t="shared" si="11"/>
        <v>230350.92689732631</v>
      </c>
      <c r="O31" s="44">
        <f t="shared" si="12"/>
        <v>230350.92689732631</v>
      </c>
      <c r="P31" s="44">
        <f t="shared" si="13"/>
        <v>230350.92689732631</v>
      </c>
      <c r="Q31" s="44">
        <f t="shared" si="14"/>
        <v>230350.92689732631</v>
      </c>
      <c r="R31" s="44">
        <f t="shared" si="15"/>
        <v>230363.86743618487</v>
      </c>
      <c r="S31" s="44">
        <f t="shared" si="16"/>
        <v>230363.86743618487</v>
      </c>
      <c r="T31" s="44">
        <f t="shared" si="17"/>
        <v>230363.86743618487</v>
      </c>
      <c r="U31" s="44">
        <f t="shared" si="18"/>
        <v>230363.86743618487</v>
      </c>
      <c r="V31" s="44">
        <f t="shared" si="19"/>
        <v>244384.97347985173</v>
      </c>
      <c r="W31" s="44">
        <f t="shared" si="20"/>
        <v>244384.97347985173</v>
      </c>
      <c r="X31" s="44">
        <f t="shared" si="21"/>
        <v>244384.97347985173</v>
      </c>
      <c r="Y31" s="44">
        <f t="shared" si="22"/>
        <v>244384.97347985173</v>
      </c>
      <c r="Z31" s="44">
        <f t="shared" si="23"/>
        <v>244189.1271156336</v>
      </c>
      <c r="AA31" s="44">
        <f t="shared" si="24"/>
        <v>244189.1271156336</v>
      </c>
      <c r="AB31" s="44">
        <f t="shared" si="25"/>
        <v>244189.1271156336</v>
      </c>
      <c r="AC31" s="44">
        <f t="shared" si="26"/>
        <v>244189.1271156336</v>
      </c>
      <c r="AD31" s="44">
        <f t="shared" si="27"/>
        <v>244536.39709873428</v>
      </c>
      <c r="AE31" s="44">
        <f t="shared" si="28"/>
        <v>244536.39709873428</v>
      </c>
      <c r="AF31" s="44">
        <f t="shared" si="29"/>
        <v>244536.39709873428</v>
      </c>
      <c r="AG31" s="44">
        <f t="shared" si="30"/>
        <v>244536.39709873428</v>
      </c>
      <c r="AH31" s="44">
        <f t="shared" si="31"/>
        <v>244610.11310367484</v>
      </c>
      <c r="AI31" s="44">
        <f t="shared" si="32"/>
        <v>244610.11310367484</v>
      </c>
      <c r="AJ31" s="44">
        <f t="shared" si="33"/>
        <v>244610.11310367484</v>
      </c>
      <c r="AK31" s="44">
        <f t="shared" si="34"/>
        <v>244610.11310367484</v>
      </c>
      <c r="AL31" s="44">
        <f t="shared" si="35"/>
        <v>244366.81809697542</v>
      </c>
      <c r="AM31" s="44">
        <f t="shared" si="36"/>
        <v>244366.81809697542</v>
      </c>
      <c r="AN31" s="44">
        <f t="shared" si="37"/>
        <v>244366.81809697542</v>
      </c>
      <c r="AO31" s="44">
        <f t="shared" si="38"/>
        <v>244366.81809697542</v>
      </c>
      <c r="AP31" s="44">
        <f t="shared" si="39"/>
        <v>259419.17564032736</v>
      </c>
      <c r="AQ31" s="44">
        <f t="shared" si="40"/>
        <v>259419.17564032736</v>
      </c>
      <c r="AR31" s="44">
        <f t="shared" si="41"/>
        <v>259419.17564032736</v>
      </c>
      <c r="AS31" s="44">
        <f t="shared" si="42"/>
        <v>259419.17564032736</v>
      </c>
    </row>
    <row r="32" spans="1:45" x14ac:dyDescent="0.2">
      <c r="A32" s="4">
        <v>1977.2</v>
      </c>
      <c r="B32" s="44">
        <f>chainindex!AK32/chainindex!AK33*newbrowser!B33</f>
        <v>228917.17075031804</v>
      </c>
      <c r="C32" s="44">
        <f t="shared" si="0"/>
        <v>229151.6655359279</v>
      </c>
      <c r="D32" s="44">
        <f t="shared" si="1"/>
        <v>229151.6655359279</v>
      </c>
      <c r="E32" s="44">
        <f t="shared" si="2"/>
        <v>229151.6655359279</v>
      </c>
      <c r="F32" s="44">
        <f t="shared" si="3"/>
        <v>229151.6655359279</v>
      </c>
      <c r="G32" s="44">
        <f t="shared" si="4"/>
        <v>229044.50964383726</v>
      </c>
      <c r="H32" s="44">
        <f t="shared" si="5"/>
        <v>229044.50964383726</v>
      </c>
      <c r="I32" s="44">
        <f t="shared" si="6"/>
        <v>229044.50964383726</v>
      </c>
      <c r="J32" s="44">
        <f t="shared" si="7"/>
        <v>229044.50964383726</v>
      </c>
      <c r="K32" s="44">
        <f t="shared" si="8"/>
        <v>229044.50964383726</v>
      </c>
      <c r="L32" s="44">
        <f t="shared" si="9"/>
        <v>229044.50964383726</v>
      </c>
      <c r="M32" s="44">
        <f t="shared" si="10"/>
        <v>229044.51092428158</v>
      </c>
      <c r="N32" s="44">
        <f t="shared" si="11"/>
        <v>229067.94305282383</v>
      </c>
      <c r="O32" s="44">
        <f t="shared" si="12"/>
        <v>229067.94305282383</v>
      </c>
      <c r="P32" s="44">
        <f t="shared" si="13"/>
        <v>229067.94305282383</v>
      </c>
      <c r="Q32" s="44">
        <f t="shared" si="14"/>
        <v>229067.94305282383</v>
      </c>
      <c r="R32" s="44">
        <f t="shared" si="15"/>
        <v>229080.81151685936</v>
      </c>
      <c r="S32" s="44">
        <f t="shared" si="16"/>
        <v>229080.81151685936</v>
      </c>
      <c r="T32" s="44">
        <f t="shared" si="17"/>
        <v>229080.81151685936</v>
      </c>
      <c r="U32" s="44">
        <f t="shared" si="18"/>
        <v>229080.81151685936</v>
      </c>
      <c r="V32" s="44">
        <f t="shared" si="19"/>
        <v>243023.82431046476</v>
      </c>
      <c r="W32" s="44">
        <f t="shared" si="20"/>
        <v>243023.82431046476</v>
      </c>
      <c r="X32" s="44">
        <f t="shared" si="21"/>
        <v>243023.82431046476</v>
      </c>
      <c r="Y32" s="44">
        <f t="shared" si="22"/>
        <v>243023.82431046476</v>
      </c>
      <c r="Z32" s="44">
        <f t="shared" si="23"/>
        <v>242829.06875028499</v>
      </c>
      <c r="AA32" s="44">
        <f t="shared" si="24"/>
        <v>242829.06875028499</v>
      </c>
      <c r="AB32" s="44">
        <f t="shared" si="25"/>
        <v>242829.06875028499</v>
      </c>
      <c r="AC32" s="44">
        <f t="shared" si="26"/>
        <v>242829.06875028499</v>
      </c>
      <c r="AD32" s="44">
        <f t="shared" si="27"/>
        <v>243174.40454634331</v>
      </c>
      <c r="AE32" s="44">
        <f t="shared" si="28"/>
        <v>243174.40454634331</v>
      </c>
      <c r="AF32" s="44">
        <f t="shared" si="29"/>
        <v>243174.40454634331</v>
      </c>
      <c r="AG32" s="44">
        <f t="shared" si="30"/>
        <v>243174.40454634331</v>
      </c>
      <c r="AH32" s="44">
        <f t="shared" si="31"/>
        <v>243247.70997579934</v>
      </c>
      <c r="AI32" s="44">
        <f t="shared" si="32"/>
        <v>243247.70997579934</v>
      </c>
      <c r="AJ32" s="44">
        <f t="shared" si="33"/>
        <v>243247.70997579934</v>
      </c>
      <c r="AK32" s="44">
        <f t="shared" si="34"/>
        <v>243247.70997579934</v>
      </c>
      <c r="AL32" s="44">
        <f t="shared" si="35"/>
        <v>243005.77004748944</v>
      </c>
      <c r="AM32" s="44">
        <f t="shared" si="36"/>
        <v>243005.77004748944</v>
      </c>
      <c r="AN32" s="44">
        <f t="shared" si="37"/>
        <v>243005.77004748944</v>
      </c>
      <c r="AO32" s="44">
        <f t="shared" si="38"/>
        <v>243005.77004748944</v>
      </c>
      <c r="AP32" s="44">
        <f t="shared" si="39"/>
        <v>257974.29058697118</v>
      </c>
      <c r="AQ32" s="44">
        <f t="shared" si="40"/>
        <v>257974.29058697118</v>
      </c>
      <c r="AR32" s="44">
        <f t="shared" si="41"/>
        <v>257974.29058697118</v>
      </c>
      <c r="AS32" s="44">
        <f t="shared" si="42"/>
        <v>257974.29058697118</v>
      </c>
    </row>
    <row r="33" spans="1:45" x14ac:dyDescent="0.2">
      <c r="A33" s="4">
        <v>1977.3</v>
      </c>
      <c r="B33" s="44">
        <f>chainindex!AK33/chainindex!AK34*newbrowser!B34</f>
        <v>226775.78876921482</v>
      </c>
      <c r="C33" s="44">
        <f t="shared" si="0"/>
        <v>227008.08999762265</v>
      </c>
      <c r="D33" s="44">
        <f t="shared" si="1"/>
        <v>227008.08999762265</v>
      </c>
      <c r="E33" s="44">
        <f t="shared" si="2"/>
        <v>227008.08999762265</v>
      </c>
      <c r="F33" s="44">
        <f t="shared" si="3"/>
        <v>227008.08999762265</v>
      </c>
      <c r="G33" s="44">
        <f t="shared" si="4"/>
        <v>226901.93648423406</v>
      </c>
      <c r="H33" s="44">
        <f t="shared" si="5"/>
        <v>226901.93648423406</v>
      </c>
      <c r="I33" s="44">
        <f t="shared" si="6"/>
        <v>226901.93648423406</v>
      </c>
      <c r="J33" s="44">
        <f t="shared" si="7"/>
        <v>226901.93648423406</v>
      </c>
      <c r="K33" s="44">
        <f t="shared" si="8"/>
        <v>226901.93648423406</v>
      </c>
      <c r="L33" s="44">
        <f t="shared" si="9"/>
        <v>226901.93648423406</v>
      </c>
      <c r="M33" s="44">
        <f t="shared" si="10"/>
        <v>226901.93775270061</v>
      </c>
      <c r="N33" s="44">
        <f t="shared" si="11"/>
        <v>226925.15068782159</v>
      </c>
      <c r="O33" s="44">
        <f t="shared" si="12"/>
        <v>226925.15068782159</v>
      </c>
      <c r="P33" s="44">
        <f t="shared" si="13"/>
        <v>226925.15068782159</v>
      </c>
      <c r="Q33" s="44">
        <f t="shared" si="14"/>
        <v>226925.15068782159</v>
      </c>
      <c r="R33" s="44">
        <f t="shared" si="15"/>
        <v>226937.89877514218</v>
      </c>
      <c r="S33" s="44">
        <f t="shared" si="16"/>
        <v>226937.89877514218</v>
      </c>
      <c r="T33" s="44">
        <f t="shared" si="17"/>
        <v>226937.89877514218</v>
      </c>
      <c r="U33" s="44">
        <f t="shared" si="18"/>
        <v>226937.89877514218</v>
      </c>
      <c r="V33" s="44">
        <f t="shared" si="19"/>
        <v>240750.48309865661</v>
      </c>
      <c r="W33" s="44">
        <f t="shared" si="20"/>
        <v>240750.48309865661</v>
      </c>
      <c r="X33" s="44">
        <f t="shared" si="21"/>
        <v>240750.48309865661</v>
      </c>
      <c r="Y33" s="44">
        <f t="shared" si="22"/>
        <v>240750.48309865661</v>
      </c>
      <c r="Z33" s="44">
        <f t="shared" si="23"/>
        <v>240557.54935920757</v>
      </c>
      <c r="AA33" s="44">
        <f t="shared" si="24"/>
        <v>240557.54935920757</v>
      </c>
      <c r="AB33" s="44">
        <f t="shared" si="25"/>
        <v>240557.54935920757</v>
      </c>
      <c r="AC33" s="44">
        <f t="shared" si="26"/>
        <v>240557.54935920757</v>
      </c>
      <c r="AD33" s="44">
        <f t="shared" si="27"/>
        <v>240899.65474730352</v>
      </c>
      <c r="AE33" s="44">
        <f t="shared" si="28"/>
        <v>240899.65474730352</v>
      </c>
      <c r="AF33" s="44">
        <f t="shared" si="29"/>
        <v>240899.65474730352</v>
      </c>
      <c r="AG33" s="44">
        <f t="shared" si="30"/>
        <v>240899.65474730352</v>
      </c>
      <c r="AH33" s="44">
        <f t="shared" si="31"/>
        <v>240972.27444870674</v>
      </c>
      <c r="AI33" s="44">
        <f t="shared" si="32"/>
        <v>240972.27444870674</v>
      </c>
      <c r="AJ33" s="44">
        <f t="shared" si="33"/>
        <v>240972.27444870674</v>
      </c>
      <c r="AK33" s="44">
        <f t="shared" si="34"/>
        <v>240972.27444870674</v>
      </c>
      <c r="AL33" s="44">
        <f t="shared" si="35"/>
        <v>240732.5977224157</v>
      </c>
      <c r="AM33" s="44">
        <f t="shared" si="36"/>
        <v>240732.5977224157</v>
      </c>
      <c r="AN33" s="44">
        <f t="shared" si="37"/>
        <v>240732.5977224157</v>
      </c>
      <c r="AO33" s="44">
        <f t="shared" si="38"/>
        <v>240732.5977224157</v>
      </c>
      <c r="AP33" s="44">
        <f t="shared" si="39"/>
        <v>255561.09678573662</v>
      </c>
      <c r="AQ33" s="44">
        <f t="shared" si="40"/>
        <v>255561.09678573662</v>
      </c>
      <c r="AR33" s="44">
        <f t="shared" si="41"/>
        <v>255561.09678573662</v>
      </c>
      <c r="AS33" s="44">
        <f t="shared" si="42"/>
        <v>255561.09678573662</v>
      </c>
    </row>
    <row r="34" spans="1:45" x14ac:dyDescent="0.2">
      <c r="A34" s="4">
        <v>1977.4</v>
      </c>
      <c r="B34" s="44">
        <f>chainindex!AK34/chainindex!AK35*newbrowser!B35</f>
        <v>228718.42420217663</v>
      </c>
      <c r="C34" s="44">
        <f t="shared" si="0"/>
        <v>228952.71539873703</v>
      </c>
      <c r="D34" s="44">
        <f t="shared" si="1"/>
        <v>228952.71539873703</v>
      </c>
      <c r="E34" s="44">
        <f t="shared" si="2"/>
        <v>228952.71539873703</v>
      </c>
      <c r="F34" s="44">
        <f t="shared" si="3"/>
        <v>228952.71539873703</v>
      </c>
      <c r="G34" s="44">
        <f t="shared" si="4"/>
        <v>228845.65253970108</v>
      </c>
      <c r="H34" s="44">
        <f t="shared" si="5"/>
        <v>228845.65253970108</v>
      </c>
      <c r="I34" s="44">
        <f t="shared" si="6"/>
        <v>228845.65253970108</v>
      </c>
      <c r="J34" s="44">
        <f t="shared" si="7"/>
        <v>228845.65253970108</v>
      </c>
      <c r="K34" s="44">
        <f t="shared" si="8"/>
        <v>228845.65253970108</v>
      </c>
      <c r="L34" s="44">
        <f t="shared" si="9"/>
        <v>228845.65253970108</v>
      </c>
      <c r="M34" s="44">
        <f t="shared" si="10"/>
        <v>228845.65381903373</v>
      </c>
      <c r="N34" s="44">
        <f t="shared" si="11"/>
        <v>228869.06560373434</v>
      </c>
      <c r="O34" s="44">
        <f t="shared" si="12"/>
        <v>228869.06560373434</v>
      </c>
      <c r="P34" s="44">
        <f t="shared" si="13"/>
        <v>228869.06560373434</v>
      </c>
      <c r="Q34" s="44">
        <f t="shared" si="14"/>
        <v>228869.06560373434</v>
      </c>
      <c r="R34" s="44">
        <f t="shared" si="15"/>
        <v>228881.92289533227</v>
      </c>
      <c r="S34" s="44">
        <f t="shared" si="16"/>
        <v>228881.92289533227</v>
      </c>
      <c r="T34" s="44">
        <f t="shared" si="17"/>
        <v>228881.92289533227</v>
      </c>
      <c r="U34" s="44">
        <f t="shared" si="18"/>
        <v>228881.92289533227</v>
      </c>
      <c r="V34" s="44">
        <f t="shared" si="19"/>
        <v>242812.8303250004</v>
      </c>
      <c r="W34" s="44">
        <f t="shared" si="20"/>
        <v>242812.8303250004</v>
      </c>
      <c r="X34" s="44">
        <f t="shared" si="21"/>
        <v>242812.8303250004</v>
      </c>
      <c r="Y34" s="44">
        <f t="shared" si="22"/>
        <v>242812.8303250004</v>
      </c>
      <c r="Z34" s="44">
        <f t="shared" si="23"/>
        <v>242618.24385215994</v>
      </c>
      <c r="AA34" s="44">
        <f t="shared" si="24"/>
        <v>242618.24385215994</v>
      </c>
      <c r="AB34" s="44">
        <f t="shared" si="25"/>
        <v>242618.24385215994</v>
      </c>
      <c r="AC34" s="44">
        <f t="shared" si="26"/>
        <v>242618.24385215994</v>
      </c>
      <c r="AD34" s="44">
        <f t="shared" si="27"/>
        <v>242963.27982668369</v>
      </c>
      <c r="AE34" s="44">
        <f t="shared" si="28"/>
        <v>242963.27982668369</v>
      </c>
      <c r="AF34" s="44">
        <f t="shared" si="29"/>
        <v>242963.27982668369</v>
      </c>
      <c r="AG34" s="44">
        <f t="shared" si="30"/>
        <v>242963.27982668369</v>
      </c>
      <c r="AH34" s="44">
        <f t="shared" si="31"/>
        <v>243036.52161215435</v>
      </c>
      <c r="AI34" s="44">
        <f t="shared" si="32"/>
        <v>243036.52161215435</v>
      </c>
      <c r="AJ34" s="44">
        <f t="shared" si="33"/>
        <v>243036.52161215435</v>
      </c>
      <c r="AK34" s="44">
        <f t="shared" si="34"/>
        <v>243036.52161215435</v>
      </c>
      <c r="AL34" s="44">
        <f t="shared" si="35"/>
        <v>242794.79173678826</v>
      </c>
      <c r="AM34" s="44">
        <f t="shared" si="36"/>
        <v>242794.79173678826</v>
      </c>
      <c r="AN34" s="44">
        <f t="shared" si="37"/>
        <v>242794.79173678826</v>
      </c>
      <c r="AO34" s="44">
        <f t="shared" si="38"/>
        <v>242794.79173678826</v>
      </c>
      <c r="AP34" s="44">
        <f t="shared" si="39"/>
        <v>257750.31656354887</v>
      </c>
      <c r="AQ34" s="44">
        <f t="shared" si="40"/>
        <v>257750.31656354887</v>
      </c>
      <c r="AR34" s="44">
        <f t="shared" si="41"/>
        <v>257750.31656354887</v>
      </c>
      <c r="AS34" s="44">
        <f t="shared" si="42"/>
        <v>257750.31656354887</v>
      </c>
    </row>
    <row r="35" spans="1:45" x14ac:dyDescent="0.2">
      <c r="A35" s="4">
        <v>1978.1</v>
      </c>
      <c r="B35" s="44">
        <f>chainindex!AK35/chainindex!AK36*newbrowser!B36</f>
        <v>232457.2502431538</v>
      </c>
      <c r="C35" s="44">
        <f t="shared" si="0"/>
        <v>232695.37136303552</v>
      </c>
      <c r="D35" s="44">
        <f t="shared" si="1"/>
        <v>232695.37136303552</v>
      </c>
      <c r="E35" s="44">
        <f t="shared" si="2"/>
        <v>232695.37136303552</v>
      </c>
      <c r="F35" s="44">
        <f t="shared" si="3"/>
        <v>232695.37136303552</v>
      </c>
      <c r="G35" s="44">
        <f t="shared" si="4"/>
        <v>232586.55836337677</v>
      </c>
      <c r="H35" s="44">
        <f t="shared" si="5"/>
        <v>232586.55836337677</v>
      </c>
      <c r="I35" s="44">
        <f t="shared" si="6"/>
        <v>232586.55836337677</v>
      </c>
      <c r="J35" s="44">
        <f t="shared" si="7"/>
        <v>232586.55836337677</v>
      </c>
      <c r="K35" s="44">
        <f t="shared" si="8"/>
        <v>232586.55836337677</v>
      </c>
      <c r="L35" s="44">
        <f t="shared" si="9"/>
        <v>232586.55836337677</v>
      </c>
      <c r="M35" s="44">
        <f t="shared" si="10"/>
        <v>232586.55966362247</v>
      </c>
      <c r="N35" s="44">
        <f t="shared" si="11"/>
        <v>232610.35415728326</v>
      </c>
      <c r="O35" s="44">
        <f t="shared" si="12"/>
        <v>232610.35415728326</v>
      </c>
      <c r="P35" s="44">
        <f t="shared" si="13"/>
        <v>232610.35415728326</v>
      </c>
      <c r="Q35" s="44">
        <f t="shared" si="14"/>
        <v>232610.35415728326</v>
      </c>
      <c r="R35" s="44">
        <f t="shared" si="15"/>
        <v>232623.42162511343</v>
      </c>
      <c r="S35" s="44">
        <f t="shared" si="16"/>
        <v>232623.42162511343</v>
      </c>
      <c r="T35" s="44">
        <f t="shared" si="17"/>
        <v>232623.42162511343</v>
      </c>
      <c r="U35" s="44">
        <f t="shared" si="18"/>
        <v>232623.42162511343</v>
      </c>
      <c r="V35" s="44">
        <f t="shared" si="19"/>
        <v>246782.05552524049</v>
      </c>
      <c r="W35" s="44">
        <f t="shared" si="20"/>
        <v>246782.05552524049</v>
      </c>
      <c r="X35" s="44">
        <f t="shared" si="21"/>
        <v>246782.05552524049</v>
      </c>
      <c r="Y35" s="44">
        <f t="shared" si="22"/>
        <v>246782.05552524049</v>
      </c>
      <c r="Z35" s="44">
        <f t="shared" si="23"/>
        <v>246584.28817628822</v>
      </c>
      <c r="AA35" s="44">
        <f t="shared" si="24"/>
        <v>246584.28817628822</v>
      </c>
      <c r="AB35" s="44">
        <f t="shared" si="25"/>
        <v>246584.28817628822</v>
      </c>
      <c r="AC35" s="44">
        <f t="shared" si="26"/>
        <v>246584.28817628822</v>
      </c>
      <c r="AD35" s="44">
        <f t="shared" si="27"/>
        <v>246934.96440253689</v>
      </c>
      <c r="AE35" s="44">
        <f t="shared" si="28"/>
        <v>246934.96440253689</v>
      </c>
      <c r="AF35" s="44">
        <f t="shared" si="29"/>
        <v>246934.96440253689</v>
      </c>
      <c r="AG35" s="44">
        <f t="shared" si="30"/>
        <v>246934.96440253689</v>
      </c>
      <c r="AH35" s="44">
        <f t="shared" si="31"/>
        <v>247009.40346057428</v>
      </c>
      <c r="AI35" s="44">
        <f t="shared" si="32"/>
        <v>247009.40346057428</v>
      </c>
      <c r="AJ35" s="44">
        <f t="shared" si="33"/>
        <v>247009.40346057428</v>
      </c>
      <c r="AK35" s="44">
        <f t="shared" si="34"/>
        <v>247009.40346057428</v>
      </c>
      <c r="AL35" s="44">
        <f t="shared" si="35"/>
        <v>246763.72206291149</v>
      </c>
      <c r="AM35" s="44">
        <f t="shared" si="36"/>
        <v>246763.72206291149</v>
      </c>
      <c r="AN35" s="44">
        <f t="shared" si="37"/>
        <v>246763.72206291149</v>
      </c>
      <c r="AO35" s="44">
        <f t="shared" si="38"/>
        <v>246763.72206291149</v>
      </c>
      <c r="AP35" s="44">
        <f t="shared" si="39"/>
        <v>261963.72262823064</v>
      </c>
      <c r="AQ35" s="44">
        <f t="shared" si="40"/>
        <v>261963.72262823064</v>
      </c>
      <c r="AR35" s="44">
        <f t="shared" si="41"/>
        <v>261963.72262823064</v>
      </c>
      <c r="AS35" s="44">
        <f t="shared" si="42"/>
        <v>261963.72262823064</v>
      </c>
    </row>
    <row r="36" spans="1:45" x14ac:dyDescent="0.2">
      <c r="A36" s="4">
        <v>1978.2</v>
      </c>
      <c r="B36" s="44">
        <f>chainindex!AK36/chainindex!AK37*newbrowser!B37</f>
        <v>236478.50558938467</v>
      </c>
      <c r="C36" s="44">
        <f t="shared" si="0"/>
        <v>236720.74594334222</v>
      </c>
      <c r="D36" s="44">
        <f t="shared" si="1"/>
        <v>236720.74594334222</v>
      </c>
      <c r="E36" s="44">
        <f t="shared" si="2"/>
        <v>236720.74594334222</v>
      </c>
      <c r="F36" s="44">
        <f t="shared" si="3"/>
        <v>236720.74594334222</v>
      </c>
      <c r="G36" s="44">
        <f t="shared" si="4"/>
        <v>236610.05059819345</v>
      </c>
      <c r="H36" s="44">
        <f t="shared" si="5"/>
        <v>236610.05059819345</v>
      </c>
      <c r="I36" s="44">
        <f t="shared" si="6"/>
        <v>236610.05059819345</v>
      </c>
      <c r="J36" s="44">
        <f t="shared" si="7"/>
        <v>236610.05059819345</v>
      </c>
      <c r="K36" s="44">
        <f t="shared" si="8"/>
        <v>236610.05059819345</v>
      </c>
      <c r="L36" s="44">
        <f t="shared" si="9"/>
        <v>236610.05059819345</v>
      </c>
      <c r="M36" s="44">
        <f t="shared" si="10"/>
        <v>236610.05192093196</v>
      </c>
      <c r="N36" s="44">
        <f t="shared" si="11"/>
        <v>236634.25803322264</v>
      </c>
      <c r="O36" s="44">
        <f t="shared" si="12"/>
        <v>236634.25803322264</v>
      </c>
      <c r="P36" s="44">
        <f t="shared" si="13"/>
        <v>236634.25803322264</v>
      </c>
      <c r="Q36" s="44">
        <f t="shared" si="14"/>
        <v>236634.25803322264</v>
      </c>
      <c r="R36" s="44">
        <f t="shared" si="15"/>
        <v>236647.5515539069</v>
      </c>
      <c r="S36" s="44">
        <f t="shared" si="16"/>
        <v>236647.5515539069</v>
      </c>
      <c r="T36" s="44">
        <f t="shared" si="17"/>
        <v>236647.5515539069</v>
      </c>
      <c r="U36" s="44">
        <f t="shared" si="18"/>
        <v>236647.5515539069</v>
      </c>
      <c r="V36" s="44">
        <f t="shared" si="19"/>
        <v>251051.11428377213</v>
      </c>
      <c r="W36" s="44">
        <f t="shared" si="20"/>
        <v>251051.11428377213</v>
      </c>
      <c r="X36" s="44">
        <f t="shared" si="21"/>
        <v>251051.11428377213</v>
      </c>
      <c r="Y36" s="44">
        <f t="shared" si="22"/>
        <v>251051.11428377213</v>
      </c>
      <c r="Z36" s="44">
        <f t="shared" si="23"/>
        <v>250849.92577669959</v>
      </c>
      <c r="AA36" s="44">
        <f t="shared" si="24"/>
        <v>250849.92577669959</v>
      </c>
      <c r="AB36" s="44">
        <f t="shared" si="25"/>
        <v>250849.92577669959</v>
      </c>
      <c r="AC36" s="44">
        <f t="shared" si="26"/>
        <v>250849.92577669959</v>
      </c>
      <c r="AD36" s="44">
        <f t="shared" si="27"/>
        <v>251206.66831685381</v>
      </c>
      <c r="AE36" s="44">
        <f t="shared" si="28"/>
        <v>251206.66831685381</v>
      </c>
      <c r="AF36" s="44">
        <f t="shared" si="29"/>
        <v>251206.66831685381</v>
      </c>
      <c r="AG36" s="44">
        <f t="shared" si="30"/>
        <v>251206.66831685381</v>
      </c>
      <c r="AH36" s="44">
        <f t="shared" si="31"/>
        <v>251282.39508891085</v>
      </c>
      <c r="AI36" s="44">
        <f t="shared" si="32"/>
        <v>251282.39508891085</v>
      </c>
      <c r="AJ36" s="44">
        <f t="shared" si="33"/>
        <v>251282.39508891085</v>
      </c>
      <c r="AK36" s="44">
        <f t="shared" si="34"/>
        <v>251282.39508891085</v>
      </c>
      <c r="AL36" s="44">
        <f t="shared" si="35"/>
        <v>251032.46367266277</v>
      </c>
      <c r="AM36" s="44">
        <f t="shared" si="36"/>
        <v>251032.46367266277</v>
      </c>
      <c r="AN36" s="44">
        <f t="shared" si="37"/>
        <v>251032.46367266277</v>
      </c>
      <c r="AO36" s="44">
        <f t="shared" si="38"/>
        <v>251032.46367266277</v>
      </c>
      <c r="AP36" s="44">
        <f t="shared" si="39"/>
        <v>266495.40756830206</v>
      </c>
      <c r="AQ36" s="44">
        <f t="shared" si="40"/>
        <v>266495.40756830206</v>
      </c>
      <c r="AR36" s="44">
        <f t="shared" si="41"/>
        <v>266495.40756830206</v>
      </c>
      <c r="AS36" s="44">
        <f t="shared" si="42"/>
        <v>266495.40756830206</v>
      </c>
    </row>
    <row r="37" spans="1:45" x14ac:dyDescent="0.2">
      <c r="A37" s="4">
        <v>1978.3</v>
      </c>
      <c r="B37" s="44">
        <f>chainindex!AK37/chainindex!AK38*newbrowser!B38</f>
        <v>237721.7922664801</v>
      </c>
      <c r="C37" s="44">
        <f t="shared" si="0"/>
        <v>237965.30620005529</v>
      </c>
      <c r="D37" s="44">
        <f t="shared" si="1"/>
        <v>237965.30620005529</v>
      </c>
      <c r="E37" s="44">
        <f t="shared" si="2"/>
        <v>237965.30620005529</v>
      </c>
      <c r="F37" s="44">
        <f t="shared" si="3"/>
        <v>237965.30620005529</v>
      </c>
      <c r="G37" s="44">
        <f t="shared" si="4"/>
        <v>237854.02887369221</v>
      </c>
      <c r="H37" s="44">
        <f t="shared" si="5"/>
        <v>237854.02887369221</v>
      </c>
      <c r="I37" s="44">
        <f t="shared" si="6"/>
        <v>237854.02887369221</v>
      </c>
      <c r="J37" s="44">
        <f t="shared" si="7"/>
        <v>237854.02887369221</v>
      </c>
      <c r="K37" s="44">
        <f t="shared" si="8"/>
        <v>237854.02887369221</v>
      </c>
      <c r="L37" s="44">
        <f t="shared" si="9"/>
        <v>237854.02887369221</v>
      </c>
      <c r="M37" s="44">
        <f t="shared" si="10"/>
        <v>237854.03020338502</v>
      </c>
      <c r="N37" s="44">
        <f t="shared" si="11"/>
        <v>237878.36357940666</v>
      </c>
      <c r="O37" s="44">
        <f t="shared" si="12"/>
        <v>237878.36357940666</v>
      </c>
      <c r="P37" s="44">
        <f t="shared" si="13"/>
        <v>237878.36357940666</v>
      </c>
      <c r="Q37" s="44">
        <f t="shared" si="14"/>
        <v>237878.36357940666</v>
      </c>
      <c r="R37" s="44">
        <f t="shared" si="15"/>
        <v>237891.72699082844</v>
      </c>
      <c r="S37" s="44">
        <f t="shared" si="16"/>
        <v>237891.72699082844</v>
      </c>
      <c r="T37" s="44">
        <f t="shared" si="17"/>
        <v>237891.72699082844</v>
      </c>
      <c r="U37" s="44">
        <f t="shared" si="18"/>
        <v>237891.72699082844</v>
      </c>
      <c r="V37" s="44">
        <f t="shared" si="19"/>
        <v>252371.01650863202</v>
      </c>
      <c r="W37" s="44">
        <f t="shared" si="20"/>
        <v>252371.01650863202</v>
      </c>
      <c r="X37" s="44">
        <f t="shared" si="21"/>
        <v>252371.01650863202</v>
      </c>
      <c r="Y37" s="44">
        <f t="shared" si="22"/>
        <v>252371.01650863202</v>
      </c>
      <c r="Z37" s="44">
        <f t="shared" si="23"/>
        <v>252168.77025218896</v>
      </c>
      <c r="AA37" s="44">
        <f t="shared" si="24"/>
        <v>252168.77025218896</v>
      </c>
      <c r="AB37" s="44">
        <f t="shared" si="25"/>
        <v>252168.77025218896</v>
      </c>
      <c r="AC37" s="44">
        <f t="shared" si="26"/>
        <v>252168.77025218896</v>
      </c>
      <c r="AD37" s="44">
        <f t="shared" si="27"/>
        <v>252527.388367657</v>
      </c>
      <c r="AE37" s="44">
        <f t="shared" si="28"/>
        <v>252527.388367657</v>
      </c>
      <c r="AF37" s="44">
        <f t="shared" si="29"/>
        <v>252527.388367657</v>
      </c>
      <c r="AG37" s="44">
        <f t="shared" si="30"/>
        <v>252527.388367657</v>
      </c>
      <c r="AH37" s="44">
        <f t="shared" si="31"/>
        <v>252603.51327351719</v>
      </c>
      <c r="AI37" s="44">
        <f t="shared" si="32"/>
        <v>252603.51327351719</v>
      </c>
      <c r="AJ37" s="44">
        <f t="shared" si="33"/>
        <v>252603.51327351719</v>
      </c>
      <c r="AK37" s="44">
        <f t="shared" si="34"/>
        <v>252603.51327351719</v>
      </c>
      <c r="AL37" s="44">
        <f t="shared" si="35"/>
        <v>252352.26784186109</v>
      </c>
      <c r="AM37" s="44">
        <f t="shared" si="36"/>
        <v>252352.26784186109</v>
      </c>
      <c r="AN37" s="44">
        <f t="shared" si="37"/>
        <v>252352.26784186109</v>
      </c>
      <c r="AO37" s="44">
        <f t="shared" si="38"/>
        <v>252352.26784186109</v>
      </c>
      <c r="AP37" s="44">
        <f t="shared" si="39"/>
        <v>267896.50822610181</v>
      </c>
      <c r="AQ37" s="44">
        <f t="shared" si="40"/>
        <v>267896.50822610181</v>
      </c>
      <c r="AR37" s="44">
        <f t="shared" si="41"/>
        <v>267896.50822610181</v>
      </c>
      <c r="AS37" s="44">
        <f t="shared" si="42"/>
        <v>267896.50822610181</v>
      </c>
    </row>
    <row r="38" spans="1:45" x14ac:dyDescent="0.2">
      <c r="A38" s="4">
        <v>1978.4</v>
      </c>
      <c r="B38" s="44">
        <f>chainindex!AK38/chainindex!AK39*newbrowser!B39</f>
        <v>241344.06018147961</v>
      </c>
      <c r="C38" s="44">
        <f t="shared" si="0"/>
        <v>241591.28464028696</v>
      </c>
      <c r="D38" s="44">
        <f t="shared" si="1"/>
        <v>241591.28464028696</v>
      </c>
      <c r="E38" s="44">
        <f t="shared" si="2"/>
        <v>241591.28464028696</v>
      </c>
      <c r="F38" s="44">
        <f t="shared" si="3"/>
        <v>241591.28464028696</v>
      </c>
      <c r="G38" s="44">
        <f t="shared" si="4"/>
        <v>241478.31173403992</v>
      </c>
      <c r="H38" s="44">
        <f t="shared" si="5"/>
        <v>241478.31173403992</v>
      </c>
      <c r="I38" s="44">
        <f t="shared" si="6"/>
        <v>241478.31173403992</v>
      </c>
      <c r="J38" s="44">
        <f t="shared" si="7"/>
        <v>241478.31173403992</v>
      </c>
      <c r="K38" s="44">
        <f t="shared" si="8"/>
        <v>241478.31173403992</v>
      </c>
      <c r="L38" s="44">
        <f t="shared" si="9"/>
        <v>241478.31173403992</v>
      </c>
      <c r="M38" s="44">
        <f t="shared" si="10"/>
        <v>241478.31308399382</v>
      </c>
      <c r="N38" s="44">
        <f t="shared" si="11"/>
        <v>241503.01723800087</v>
      </c>
      <c r="O38" s="44">
        <f t="shared" si="12"/>
        <v>241503.01723800087</v>
      </c>
      <c r="P38" s="44">
        <f t="shared" si="13"/>
        <v>241503.01723800087</v>
      </c>
      <c r="Q38" s="44">
        <f t="shared" si="14"/>
        <v>241503.01723800087</v>
      </c>
      <c r="R38" s="44">
        <f t="shared" si="15"/>
        <v>241516.58427339824</v>
      </c>
      <c r="S38" s="44">
        <f t="shared" si="16"/>
        <v>241516.58427339824</v>
      </c>
      <c r="T38" s="44">
        <f t="shared" si="17"/>
        <v>241516.58427339824</v>
      </c>
      <c r="U38" s="44">
        <f t="shared" si="18"/>
        <v>241516.58427339824</v>
      </c>
      <c r="V38" s="44">
        <f t="shared" si="19"/>
        <v>256216.50087529153</v>
      </c>
      <c r="W38" s="44">
        <f t="shared" si="20"/>
        <v>256216.50087529153</v>
      </c>
      <c r="X38" s="44">
        <f t="shared" si="21"/>
        <v>256216.50087529153</v>
      </c>
      <c r="Y38" s="44">
        <f t="shared" si="22"/>
        <v>256216.50087529153</v>
      </c>
      <c r="Z38" s="44">
        <f t="shared" si="23"/>
        <v>256011.17290674013</v>
      </c>
      <c r="AA38" s="44">
        <f t="shared" si="24"/>
        <v>256011.17290674013</v>
      </c>
      <c r="AB38" s="44">
        <f t="shared" si="25"/>
        <v>256011.17290674013</v>
      </c>
      <c r="AC38" s="44">
        <f t="shared" si="26"/>
        <v>256011.17290674013</v>
      </c>
      <c r="AD38" s="44">
        <f t="shared" si="27"/>
        <v>256375.25543874741</v>
      </c>
      <c r="AE38" s="44">
        <f t="shared" si="28"/>
        <v>256375.25543874741</v>
      </c>
      <c r="AF38" s="44">
        <f t="shared" si="29"/>
        <v>256375.25543874741</v>
      </c>
      <c r="AG38" s="44">
        <f t="shared" si="30"/>
        <v>256375.25543874741</v>
      </c>
      <c r="AH38" s="44">
        <f t="shared" si="31"/>
        <v>256452.54029213029</v>
      </c>
      <c r="AI38" s="44">
        <f t="shared" si="32"/>
        <v>256452.54029213029</v>
      </c>
      <c r="AJ38" s="44">
        <f t="shared" si="33"/>
        <v>256452.54029213029</v>
      </c>
      <c r="AK38" s="44">
        <f t="shared" si="34"/>
        <v>256452.54029213029</v>
      </c>
      <c r="AL38" s="44">
        <f t="shared" si="35"/>
        <v>256197.46652712199</v>
      </c>
      <c r="AM38" s="44">
        <f t="shared" si="36"/>
        <v>256197.46652712199</v>
      </c>
      <c r="AN38" s="44">
        <f t="shared" si="37"/>
        <v>256197.46652712199</v>
      </c>
      <c r="AO38" s="44">
        <f t="shared" si="38"/>
        <v>256197.46652712199</v>
      </c>
      <c r="AP38" s="44">
        <f t="shared" si="39"/>
        <v>271978.56110411487</v>
      </c>
      <c r="AQ38" s="44">
        <f t="shared" si="40"/>
        <v>271978.56110411487</v>
      </c>
      <c r="AR38" s="44">
        <f t="shared" si="41"/>
        <v>271978.56110411487</v>
      </c>
      <c r="AS38" s="44">
        <f t="shared" si="42"/>
        <v>271978.56110411487</v>
      </c>
    </row>
    <row r="39" spans="1:45" x14ac:dyDescent="0.2">
      <c r="A39" s="4">
        <v>1979.1</v>
      </c>
      <c r="B39" s="44">
        <f>chainindex!AK39/chainindex!AK40*newbrowser!B40</f>
        <v>245157.60296987844</v>
      </c>
      <c r="C39" s="44">
        <f t="shared" si="0"/>
        <v>245408.73388924377</v>
      </c>
      <c r="D39" s="44">
        <f t="shared" si="1"/>
        <v>245408.73388924377</v>
      </c>
      <c r="E39" s="44">
        <f t="shared" si="2"/>
        <v>245408.73388924377</v>
      </c>
      <c r="F39" s="44">
        <f t="shared" si="3"/>
        <v>245408.73388924377</v>
      </c>
      <c r="G39" s="44">
        <f t="shared" si="4"/>
        <v>245293.9758675413</v>
      </c>
      <c r="H39" s="44">
        <f t="shared" si="5"/>
        <v>245293.9758675413</v>
      </c>
      <c r="I39" s="44">
        <f t="shared" si="6"/>
        <v>245293.9758675413</v>
      </c>
      <c r="J39" s="44">
        <f t="shared" si="7"/>
        <v>245293.9758675413</v>
      </c>
      <c r="K39" s="44">
        <f t="shared" si="8"/>
        <v>245293.9758675413</v>
      </c>
      <c r="L39" s="44">
        <f t="shared" si="9"/>
        <v>245293.9758675413</v>
      </c>
      <c r="M39" s="44">
        <f t="shared" si="10"/>
        <v>245293.97723882619</v>
      </c>
      <c r="N39" s="44">
        <f t="shared" si="11"/>
        <v>245319.07174985419</v>
      </c>
      <c r="O39" s="44">
        <f t="shared" si="12"/>
        <v>245319.07174985419</v>
      </c>
      <c r="P39" s="44">
        <f t="shared" si="13"/>
        <v>245319.07174985419</v>
      </c>
      <c r="Q39" s="44">
        <f t="shared" si="14"/>
        <v>245319.07174985419</v>
      </c>
      <c r="R39" s="44">
        <f t="shared" si="15"/>
        <v>245332.85316164832</v>
      </c>
      <c r="S39" s="44">
        <f t="shared" si="16"/>
        <v>245332.85316164832</v>
      </c>
      <c r="T39" s="44">
        <f t="shared" si="17"/>
        <v>245332.85316164832</v>
      </c>
      <c r="U39" s="44">
        <f t="shared" si="18"/>
        <v>245332.85316164832</v>
      </c>
      <c r="V39" s="44">
        <f t="shared" si="19"/>
        <v>260265.04712269874</v>
      </c>
      <c r="W39" s="44">
        <f t="shared" si="20"/>
        <v>260265.04712269874</v>
      </c>
      <c r="X39" s="44">
        <f t="shared" si="21"/>
        <v>260265.04712269874</v>
      </c>
      <c r="Y39" s="44">
        <f t="shared" si="22"/>
        <v>260265.04712269874</v>
      </c>
      <c r="Z39" s="44">
        <f t="shared" si="23"/>
        <v>260056.47471136664</v>
      </c>
      <c r="AA39" s="44">
        <f t="shared" si="24"/>
        <v>260056.47471136664</v>
      </c>
      <c r="AB39" s="44">
        <f t="shared" si="25"/>
        <v>260056.47471136664</v>
      </c>
      <c r="AC39" s="44">
        <f t="shared" si="26"/>
        <v>260056.47471136664</v>
      </c>
      <c r="AD39" s="44">
        <f t="shared" si="27"/>
        <v>260426.3102099614</v>
      </c>
      <c r="AE39" s="44">
        <f t="shared" si="28"/>
        <v>260426.3102099614</v>
      </c>
      <c r="AF39" s="44">
        <f t="shared" si="29"/>
        <v>260426.3102099614</v>
      </c>
      <c r="AG39" s="44">
        <f t="shared" si="30"/>
        <v>260426.3102099614</v>
      </c>
      <c r="AH39" s="44">
        <f t="shared" si="31"/>
        <v>260504.81626222131</v>
      </c>
      <c r="AI39" s="44">
        <f t="shared" si="32"/>
        <v>260504.81626222131</v>
      </c>
      <c r="AJ39" s="44">
        <f t="shared" si="33"/>
        <v>260504.81626222131</v>
      </c>
      <c r="AK39" s="44">
        <f t="shared" si="34"/>
        <v>260504.81626222131</v>
      </c>
      <c r="AL39" s="44">
        <f t="shared" si="35"/>
        <v>260245.71200764421</v>
      </c>
      <c r="AM39" s="44">
        <f t="shared" si="36"/>
        <v>260245.71200764421</v>
      </c>
      <c r="AN39" s="44">
        <f t="shared" si="37"/>
        <v>260245.71200764421</v>
      </c>
      <c r="AO39" s="44">
        <f t="shared" si="38"/>
        <v>260245.71200764421</v>
      </c>
      <c r="AP39" s="44">
        <f t="shared" si="39"/>
        <v>276276.16792948177</v>
      </c>
      <c r="AQ39" s="44">
        <f t="shared" si="40"/>
        <v>276276.16792948177</v>
      </c>
      <c r="AR39" s="44">
        <f t="shared" si="41"/>
        <v>276276.16792948177</v>
      </c>
      <c r="AS39" s="44">
        <f t="shared" si="42"/>
        <v>276276.16792948177</v>
      </c>
    </row>
    <row r="40" spans="1:45" x14ac:dyDescent="0.2">
      <c r="A40" s="4">
        <v>1979.2</v>
      </c>
      <c r="B40" s="44">
        <f>chainindex!AK40/chainindex!AK41*newbrowser!B41</f>
        <v>246940.34456335797</v>
      </c>
      <c r="C40" s="44">
        <f t="shared" si="0"/>
        <v>247193.30166118944</v>
      </c>
      <c r="D40" s="44">
        <f t="shared" si="1"/>
        <v>247193.30166118944</v>
      </c>
      <c r="E40" s="44">
        <f t="shared" si="2"/>
        <v>247193.30166118944</v>
      </c>
      <c r="F40" s="44">
        <f t="shared" si="3"/>
        <v>247193.30166118944</v>
      </c>
      <c r="G40" s="44">
        <f t="shared" si="4"/>
        <v>247077.70913998139</v>
      </c>
      <c r="H40" s="44">
        <f t="shared" si="5"/>
        <v>247077.70913998139</v>
      </c>
      <c r="I40" s="44">
        <f t="shared" si="6"/>
        <v>247077.70913998139</v>
      </c>
      <c r="J40" s="44">
        <f t="shared" si="7"/>
        <v>247077.70913998139</v>
      </c>
      <c r="K40" s="44">
        <f t="shared" si="8"/>
        <v>247077.70913998139</v>
      </c>
      <c r="L40" s="44">
        <f t="shared" si="9"/>
        <v>247077.70913998139</v>
      </c>
      <c r="M40" s="44">
        <f t="shared" si="10"/>
        <v>247077.71052123804</v>
      </c>
      <c r="N40" s="44">
        <f t="shared" si="11"/>
        <v>247102.98751499565</v>
      </c>
      <c r="O40" s="44">
        <f t="shared" si="12"/>
        <v>247102.98751499565</v>
      </c>
      <c r="P40" s="44">
        <f t="shared" si="13"/>
        <v>247102.98751499565</v>
      </c>
      <c r="Q40" s="44">
        <f t="shared" si="14"/>
        <v>247102.98751499565</v>
      </c>
      <c r="R40" s="44">
        <f t="shared" si="15"/>
        <v>247116.86914271506</v>
      </c>
      <c r="S40" s="44">
        <f t="shared" si="16"/>
        <v>247116.86914271506</v>
      </c>
      <c r="T40" s="44">
        <f t="shared" si="17"/>
        <v>247116.86914271506</v>
      </c>
      <c r="U40" s="44">
        <f t="shared" si="18"/>
        <v>247116.86914271506</v>
      </c>
      <c r="V40" s="44">
        <f t="shared" si="19"/>
        <v>262157.64730810502</v>
      </c>
      <c r="W40" s="44">
        <f t="shared" si="20"/>
        <v>262157.64730810502</v>
      </c>
      <c r="X40" s="44">
        <f t="shared" si="21"/>
        <v>262157.64730810502</v>
      </c>
      <c r="Y40" s="44">
        <f t="shared" si="22"/>
        <v>262157.64730810502</v>
      </c>
      <c r="Z40" s="44">
        <f t="shared" si="23"/>
        <v>261947.55819605291</v>
      </c>
      <c r="AA40" s="44">
        <f t="shared" si="24"/>
        <v>261947.55819605291</v>
      </c>
      <c r="AB40" s="44">
        <f t="shared" si="25"/>
        <v>261947.55819605291</v>
      </c>
      <c r="AC40" s="44">
        <f t="shared" si="26"/>
        <v>261947.55819605291</v>
      </c>
      <c r="AD40" s="44">
        <f t="shared" si="27"/>
        <v>262320.0830712695</v>
      </c>
      <c r="AE40" s="44">
        <f t="shared" si="28"/>
        <v>262320.0830712695</v>
      </c>
      <c r="AF40" s="44">
        <f t="shared" si="29"/>
        <v>262320.0830712695</v>
      </c>
      <c r="AG40" s="44">
        <f t="shared" si="30"/>
        <v>262320.0830712695</v>
      </c>
      <c r="AH40" s="44">
        <f t="shared" si="31"/>
        <v>262399.16000529286</v>
      </c>
      <c r="AI40" s="44">
        <f t="shared" si="32"/>
        <v>262399.16000529286</v>
      </c>
      <c r="AJ40" s="44">
        <f t="shared" si="33"/>
        <v>262399.16000529286</v>
      </c>
      <c r="AK40" s="44">
        <f t="shared" si="34"/>
        <v>262399.16000529286</v>
      </c>
      <c r="AL40" s="44">
        <f t="shared" si="35"/>
        <v>262138.17159160305</v>
      </c>
      <c r="AM40" s="44">
        <f t="shared" si="36"/>
        <v>262138.17159160305</v>
      </c>
      <c r="AN40" s="44">
        <f t="shared" si="37"/>
        <v>262138.17159160305</v>
      </c>
      <c r="AO40" s="44">
        <f t="shared" si="38"/>
        <v>262138.17159160305</v>
      </c>
      <c r="AP40" s="44">
        <f t="shared" si="39"/>
        <v>278285.198079428</v>
      </c>
      <c r="AQ40" s="44">
        <f t="shared" si="40"/>
        <v>278285.198079428</v>
      </c>
      <c r="AR40" s="44">
        <f t="shared" si="41"/>
        <v>278285.198079428</v>
      </c>
      <c r="AS40" s="44">
        <f t="shared" si="42"/>
        <v>278285.198079428</v>
      </c>
    </row>
    <row r="41" spans="1:45" x14ac:dyDescent="0.2">
      <c r="A41" s="4">
        <v>1979.3</v>
      </c>
      <c r="B41" s="44">
        <f>chainindex!AK41/chainindex!AK42*newbrowser!B42</f>
        <v>251214.14251587374</v>
      </c>
      <c r="C41" s="44">
        <f t="shared" si="0"/>
        <v>251471.47754364088</v>
      </c>
      <c r="D41" s="44">
        <f t="shared" si="1"/>
        <v>251471.47754364088</v>
      </c>
      <c r="E41" s="44">
        <f t="shared" si="2"/>
        <v>251471.47754364088</v>
      </c>
      <c r="F41" s="44">
        <f t="shared" si="3"/>
        <v>251471.47754364088</v>
      </c>
      <c r="G41" s="44">
        <f t="shared" si="4"/>
        <v>251353.88446200866</v>
      </c>
      <c r="H41" s="44">
        <f t="shared" si="5"/>
        <v>251353.88446200866</v>
      </c>
      <c r="I41" s="44">
        <f t="shared" si="6"/>
        <v>251353.88446200866</v>
      </c>
      <c r="J41" s="44">
        <f t="shared" si="7"/>
        <v>251353.88446200866</v>
      </c>
      <c r="K41" s="44">
        <f t="shared" si="8"/>
        <v>251353.88446200866</v>
      </c>
      <c r="L41" s="44">
        <f t="shared" si="9"/>
        <v>251353.88446200866</v>
      </c>
      <c r="M41" s="44">
        <f t="shared" si="10"/>
        <v>251353.88586717073</v>
      </c>
      <c r="N41" s="44">
        <f t="shared" si="11"/>
        <v>251379.60033000354</v>
      </c>
      <c r="O41" s="44">
        <f t="shared" si="12"/>
        <v>251379.60033000354</v>
      </c>
      <c r="P41" s="44">
        <f t="shared" si="13"/>
        <v>251379.60033000354</v>
      </c>
      <c r="Q41" s="44">
        <f t="shared" si="14"/>
        <v>251379.60033000354</v>
      </c>
      <c r="R41" s="44">
        <f t="shared" si="15"/>
        <v>251393.72220713311</v>
      </c>
      <c r="S41" s="44">
        <f t="shared" si="16"/>
        <v>251393.72220713311</v>
      </c>
      <c r="T41" s="44">
        <f t="shared" si="17"/>
        <v>251393.72220713311</v>
      </c>
      <c r="U41" s="44">
        <f t="shared" si="18"/>
        <v>251393.72220713311</v>
      </c>
      <c r="V41" s="44">
        <f t="shared" si="19"/>
        <v>266694.81120606122</v>
      </c>
      <c r="W41" s="44">
        <f t="shared" si="20"/>
        <v>266694.81120606122</v>
      </c>
      <c r="X41" s="44">
        <f t="shared" si="21"/>
        <v>266694.81120606122</v>
      </c>
      <c r="Y41" s="44">
        <f t="shared" si="22"/>
        <v>266694.81120606122</v>
      </c>
      <c r="Z41" s="44">
        <f t="shared" si="23"/>
        <v>266481.08608054795</v>
      </c>
      <c r="AA41" s="44">
        <f t="shared" si="24"/>
        <v>266481.08608054795</v>
      </c>
      <c r="AB41" s="44">
        <f t="shared" si="25"/>
        <v>266481.08608054795</v>
      </c>
      <c r="AC41" s="44">
        <f t="shared" si="26"/>
        <v>266481.08608054795</v>
      </c>
      <c r="AD41" s="44">
        <f t="shared" si="27"/>
        <v>266860.05824590573</v>
      </c>
      <c r="AE41" s="44">
        <f t="shared" si="28"/>
        <v>266860.05824590573</v>
      </c>
      <c r="AF41" s="44">
        <f t="shared" si="29"/>
        <v>266860.05824590573</v>
      </c>
      <c r="AG41" s="44">
        <f t="shared" si="30"/>
        <v>266860.05824590573</v>
      </c>
      <c r="AH41" s="44">
        <f t="shared" si="31"/>
        <v>266940.50376487745</v>
      </c>
      <c r="AI41" s="44">
        <f t="shared" si="32"/>
        <v>266940.50376487745</v>
      </c>
      <c r="AJ41" s="44">
        <f t="shared" si="33"/>
        <v>266940.50376487745</v>
      </c>
      <c r="AK41" s="44">
        <f t="shared" si="34"/>
        <v>266940.50376487745</v>
      </c>
      <c r="AL41" s="44">
        <f t="shared" si="35"/>
        <v>266674.99842322257</v>
      </c>
      <c r="AM41" s="44">
        <f t="shared" si="36"/>
        <v>266674.99842322257</v>
      </c>
      <c r="AN41" s="44">
        <f t="shared" si="37"/>
        <v>266674.99842322257</v>
      </c>
      <c r="AO41" s="44">
        <f t="shared" si="38"/>
        <v>266674.99842322257</v>
      </c>
      <c r="AP41" s="44">
        <f t="shared" si="39"/>
        <v>283101.48159061483</v>
      </c>
      <c r="AQ41" s="44">
        <f t="shared" si="40"/>
        <v>283101.48159061483</v>
      </c>
      <c r="AR41" s="44">
        <f t="shared" si="41"/>
        <v>283101.48159061483</v>
      </c>
      <c r="AS41" s="44">
        <f t="shared" si="42"/>
        <v>283101.48159061483</v>
      </c>
    </row>
    <row r="42" spans="1:45" x14ac:dyDescent="0.2">
      <c r="A42" s="4">
        <v>1979.4</v>
      </c>
      <c r="B42" s="44">
        <f>chainindex!AK42/chainindex!AK43*newbrowser!B43</f>
        <v>257127.22590681969</v>
      </c>
      <c r="C42" s="44">
        <f t="shared" si="0"/>
        <v>257390.61809149431</v>
      </c>
      <c r="D42" s="44">
        <f t="shared" si="1"/>
        <v>257390.61809149431</v>
      </c>
      <c r="E42" s="44">
        <f t="shared" si="2"/>
        <v>257390.61809149431</v>
      </c>
      <c r="F42" s="44">
        <f t="shared" si="3"/>
        <v>257390.61809149431</v>
      </c>
      <c r="G42" s="44">
        <f t="shared" si="4"/>
        <v>257270.25710161089</v>
      </c>
      <c r="H42" s="44">
        <f t="shared" si="5"/>
        <v>257270.25710161089</v>
      </c>
      <c r="I42" s="44">
        <f t="shared" si="6"/>
        <v>257270.25710161089</v>
      </c>
      <c r="J42" s="44">
        <f t="shared" si="7"/>
        <v>257270.25710161089</v>
      </c>
      <c r="K42" s="44">
        <f t="shared" si="8"/>
        <v>257270.25710161089</v>
      </c>
      <c r="L42" s="44">
        <f t="shared" si="9"/>
        <v>257270.25710161089</v>
      </c>
      <c r="M42" s="44">
        <f t="shared" si="10"/>
        <v>257270.25853984768</v>
      </c>
      <c r="N42" s="44">
        <f t="shared" si="11"/>
        <v>257296.57827020867</v>
      </c>
      <c r="O42" s="44">
        <f t="shared" si="12"/>
        <v>257296.57827020867</v>
      </c>
      <c r="P42" s="44">
        <f t="shared" si="13"/>
        <v>257296.57827020867</v>
      </c>
      <c r="Q42" s="44">
        <f t="shared" si="14"/>
        <v>257296.57827020867</v>
      </c>
      <c r="R42" s="44">
        <f t="shared" si="15"/>
        <v>257311.03254835782</v>
      </c>
      <c r="S42" s="44">
        <f t="shared" si="16"/>
        <v>257311.03254835782</v>
      </c>
      <c r="T42" s="44">
        <f t="shared" si="17"/>
        <v>257311.03254835782</v>
      </c>
      <c r="U42" s="44">
        <f t="shared" si="18"/>
        <v>257311.03254835782</v>
      </c>
      <c r="V42" s="44">
        <f t="shared" si="19"/>
        <v>272972.27887886303</v>
      </c>
      <c r="W42" s="44">
        <f t="shared" si="20"/>
        <v>272972.27887886303</v>
      </c>
      <c r="X42" s="44">
        <f t="shared" si="21"/>
        <v>272972.27887886303</v>
      </c>
      <c r="Y42" s="44">
        <f t="shared" si="22"/>
        <v>272972.27887886303</v>
      </c>
      <c r="Z42" s="44">
        <f t="shared" si="23"/>
        <v>272753.52308717294</v>
      </c>
      <c r="AA42" s="44">
        <f t="shared" si="24"/>
        <v>272753.52308717294</v>
      </c>
      <c r="AB42" s="44">
        <f t="shared" si="25"/>
        <v>272753.52308717294</v>
      </c>
      <c r="AC42" s="44">
        <f t="shared" si="26"/>
        <v>272753.52308717294</v>
      </c>
      <c r="AD42" s="44">
        <f t="shared" si="27"/>
        <v>273141.41550675756</v>
      </c>
      <c r="AE42" s="44">
        <f t="shared" si="28"/>
        <v>273141.41550675756</v>
      </c>
      <c r="AF42" s="44">
        <f t="shared" si="29"/>
        <v>273141.41550675756</v>
      </c>
      <c r="AG42" s="44">
        <f t="shared" si="30"/>
        <v>273141.41550675756</v>
      </c>
      <c r="AH42" s="44">
        <f t="shared" si="31"/>
        <v>273223.75455392536</v>
      </c>
      <c r="AI42" s="44">
        <f t="shared" si="32"/>
        <v>273223.75455392536</v>
      </c>
      <c r="AJ42" s="44">
        <f t="shared" si="33"/>
        <v>273223.75455392536</v>
      </c>
      <c r="AK42" s="44">
        <f t="shared" si="34"/>
        <v>273223.75455392536</v>
      </c>
      <c r="AL42" s="44">
        <f t="shared" si="35"/>
        <v>272951.9997423552</v>
      </c>
      <c r="AM42" s="44">
        <f t="shared" si="36"/>
        <v>272951.9997423552</v>
      </c>
      <c r="AN42" s="44">
        <f t="shared" si="37"/>
        <v>272951.9997423552</v>
      </c>
      <c r="AO42" s="44">
        <f t="shared" si="38"/>
        <v>272951.9997423552</v>
      </c>
      <c r="AP42" s="44">
        <f t="shared" si="39"/>
        <v>289765.12979123276</v>
      </c>
      <c r="AQ42" s="44">
        <f t="shared" si="40"/>
        <v>289765.12979123276</v>
      </c>
      <c r="AR42" s="44">
        <f t="shared" si="41"/>
        <v>289765.12979123276</v>
      </c>
      <c r="AS42" s="44">
        <f t="shared" si="42"/>
        <v>289765.12979123276</v>
      </c>
    </row>
    <row r="43" spans="1:45" x14ac:dyDescent="0.2">
      <c r="A43" s="4">
        <v>1980.1</v>
      </c>
      <c r="B43" s="44">
        <f>chainindex!AK43/chainindex!AK44*newbrowser!B44</f>
        <v>258183.7207153613</v>
      </c>
      <c r="C43" s="44">
        <f t="shared" si="0"/>
        <v>258448.19513656196</v>
      </c>
      <c r="D43" s="44">
        <f t="shared" si="1"/>
        <v>258448.19513656196</v>
      </c>
      <c r="E43" s="44">
        <f t="shared" si="2"/>
        <v>258448.19513656196</v>
      </c>
      <c r="F43" s="44">
        <f t="shared" si="3"/>
        <v>258448.19513656196</v>
      </c>
      <c r="G43" s="44">
        <f t="shared" si="4"/>
        <v>258327.33960254572</v>
      </c>
      <c r="H43" s="44">
        <f t="shared" si="5"/>
        <v>258327.33960254572</v>
      </c>
      <c r="I43" s="44">
        <f t="shared" si="6"/>
        <v>258327.33960254572</v>
      </c>
      <c r="J43" s="44">
        <f t="shared" si="7"/>
        <v>258327.33960254572</v>
      </c>
      <c r="K43" s="44">
        <f t="shared" si="8"/>
        <v>258327.33960254572</v>
      </c>
      <c r="L43" s="44">
        <f t="shared" si="9"/>
        <v>258327.33960254572</v>
      </c>
      <c r="M43" s="44">
        <f t="shared" si="10"/>
        <v>258327.34104669199</v>
      </c>
      <c r="N43" s="44">
        <f t="shared" si="11"/>
        <v>258353.76892063208</v>
      </c>
      <c r="O43" s="44">
        <f t="shared" si="12"/>
        <v>258353.76892063208</v>
      </c>
      <c r="P43" s="44">
        <f t="shared" si="13"/>
        <v>258353.76892063208</v>
      </c>
      <c r="Q43" s="44">
        <f t="shared" si="14"/>
        <v>258353.76892063208</v>
      </c>
      <c r="R43" s="44">
        <f t="shared" si="15"/>
        <v>258368.28258910743</v>
      </c>
      <c r="S43" s="44">
        <f t="shared" si="16"/>
        <v>258368.28258910743</v>
      </c>
      <c r="T43" s="44">
        <f t="shared" si="17"/>
        <v>258368.28258910743</v>
      </c>
      <c r="U43" s="44">
        <f t="shared" si="18"/>
        <v>258368.28258910743</v>
      </c>
      <c r="V43" s="44">
        <f t="shared" si="19"/>
        <v>274093.87848580547</v>
      </c>
      <c r="W43" s="44">
        <f t="shared" si="20"/>
        <v>274093.87848580547</v>
      </c>
      <c r="X43" s="44">
        <f t="shared" si="21"/>
        <v>274093.87848580547</v>
      </c>
      <c r="Y43" s="44">
        <f t="shared" si="22"/>
        <v>274093.87848580547</v>
      </c>
      <c r="Z43" s="44">
        <f t="shared" si="23"/>
        <v>273874.22386141715</v>
      </c>
      <c r="AA43" s="44">
        <f t="shared" si="24"/>
        <v>273874.22386141715</v>
      </c>
      <c r="AB43" s="44">
        <f t="shared" si="25"/>
        <v>273874.22386141715</v>
      </c>
      <c r="AC43" s="44">
        <f t="shared" si="26"/>
        <v>273874.22386141715</v>
      </c>
      <c r="AD43" s="44">
        <f t="shared" si="27"/>
        <v>274263.71006915905</v>
      </c>
      <c r="AE43" s="44">
        <f t="shared" si="28"/>
        <v>274263.71006915905</v>
      </c>
      <c r="AF43" s="44">
        <f t="shared" si="29"/>
        <v>274263.71006915905</v>
      </c>
      <c r="AG43" s="44">
        <f t="shared" si="30"/>
        <v>274263.71006915905</v>
      </c>
      <c r="AH43" s="44">
        <f t="shared" si="31"/>
        <v>274346.38743435428</v>
      </c>
      <c r="AI43" s="44">
        <f t="shared" si="32"/>
        <v>274346.38743435428</v>
      </c>
      <c r="AJ43" s="44">
        <f t="shared" si="33"/>
        <v>274346.38743435428</v>
      </c>
      <c r="AK43" s="44">
        <f t="shared" si="34"/>
        <v>274346.38743435428</v>
      </c>
      <c r="AL43" s="44">
        <f t="shared" si="35"/>
        <v>274073.51602555637</v>
      </c>
      <c r="AM43" s="44">
        <f t="shared" si="36"/>
        <v>274073.51602555637</v>
      </c>
      <c r="AN43" s="44">
        <f t="shared" si="37"/>
        <v>274073.51602555637</v>
      </c>
      <c r="AO43" s="44">
        <f t="shared" si="38"/>
        <v>274073.51602555637</v>
      </c>
      <c r="AP43" s="44">
        <f t="shared" si="39"/>
        <v>290955.72854731994</v>
      </c>
      <c r="AQ43" s="44">
        <f t="shared" si="40"/>
        <v>290955.72854731994</v>
      </c>
      <c r="AR43" s="44">
        <f t="shared" si="41"/>
        <v>290955.72854731994</v>
      </c>
      <c r="AS43" s="44">
        <f t="shared" si="42"/>
        <v>290955.72854731994</v>
      </c>
    </row>
    <row r="44" spans="1:45" x14ac:dyDescent="0.2">
      <c r="A44" s="4">
        <v>1980.2</v>
      </c>
      <c r="B44" s="44">
        <f>chainindex!AK44/chainindex!AK45*newbrowser!B45</f>
        <v>260187.4404388917</v>
      </c>
      <c r="C44" s="44">
        <f t="shared" si="0"/>
        <v>260453.96740086706</v>
      </c>
      <c r="D44" s="44">
        <f t="shared" si="1"/>
        <v>260453.96740086706</v>
      </c>
      <c r="E44" s="44">
        <f t="shared" si="2"/>
        <v>260453.96740086706</v>
      </c>
      <c r="F44" s="44">
        <f t="shared" si="3"/>
        <v>260453.96740086706</v>
      </c>
      <c r="G44" s="44">
        <f t="shared" si="4"/>
        <v>260332.1739277099</v>
      </c>
      <c r="H44" s="44">
        <f t="shared" si="5"/>
        <v>260332.1739277099</v>
      </c>
      <c r="I44" s="44">
        <f t="shared" si="6"/>
        <v>260332.1739277099</v>
      </c>
      <c r="J44" s="44">
        <f t="shared" si="7"/>
        <v>260332.1739277099</v>
      </c>
      <c r="K44" s="44">
        <f t="shared" si="8"/>
        <v>260332.1739277099</v>
      </c>
      <c r="L44" s="44">
        <f t="shared" si="9"/>
        <v>260332.1739277099</v>
      </c>
      <c r="M44" s="44">
        <f t="shared" si="10"/>
        <v>260332.17538306394</v>
      </c>
      <c r="N44" s="44">
        <f t="shared" si="11"/>
        <v>260358.8083592162</v>
      </c>
      <c r="O44" s="44">
        <f t="shared" si="12"/>
        <v>260358.8083592162</v>
      </c>
      <c r="P44" s="44">
        <f t="shared" si="13"/>
        <v>260358.8083592162</v>
      </c>
      <c r="Q44" s="44">
        <f t="shared" si="14"/>
        <v>260358.8083592162</v>
      </c>
      <c r="R44" s="44">
        <f t="shared" si="15"/>
        <v>260373.43466579166</v>
      </c>
      <c r="S44" s="44">
        <f t="shared" si="16"/>
        <v>260373.43466579166</v>
      </c>
      <c r="T44" s="44">
        <f t="shared" si="17"/>
        <v>260373.43466579166</v>
      </c>
      <c r="U44" s="44">
        <f t="shared" si="18"/>
        <v>260373.43466579166</v>
      </c>
      <c r="V44" s="44">
        <f t="shared" si="19"/>
        <v>276221.07422417053</v>
      </c>
      <c r="W44" s="44">
        <f t="shared" si="20"/>
        <v>276221.07422417053</v>
      </c>
      <c r="X44" s="44">
        <f t="shared" si="21"/>
        <v>276221.07422417053</v>
      </c>
      <c r="Y44" s="44">
        <f t="shared" si="22"/>
        <v>276221.07422417053</v>
      </c>
      <c r="Z44" s="44">
        <f t="shared" si="23"/>
        <v>275999.71489778929</v>
      </c>
      <c r="AA44" s="44">
        <f t="shared" si="24"/>
        <v>275999.71489778929</v>
      </c>
      <c r="AB44" s="44">
        <f t="shared" si="25"/>
        <v>275999.71489778929</v>
      </c>
      <c r="AC44" s="44">
        <f t="shared" si="26"/>
        <v>275999.71489778929</v>
      </c>
      <c r="AD44" s="44">
        <f t="shared" si="27"/>
        <v>276392.22384141217</v>
      </c>
      <c r="AE44" s="44">
        <f t="shared" si="28"/>
        <v>276392.22384141217</v>
      </c>
      <c r="AF44" s="44">
        <f t="shared" si="29"/>
        <v>276392.22384141217</v>
      </c>
      <c r="AG44" s="44">
        <f t="shared" si="30"/>
        <v>276392.22384141217</v>
      </c>
      <c r="AH44" s="44">
        <f t="shared" si="31"/>
        <v>276475.54285150615</v>
      </c>
      <c r="AI44" s="44">
        <f t="shared" si="32"/>
        <v>276475.54285150615</v>
      </c>
      <c r="AJ44" s="44">
        <f t="shared" si="33"/>
        <v>276475.54285150615</v>
      </c>
      <c r="AK44" s="44">
        <f t="shared" si="34"/>
        <v>276475.54285150615</v>
      </c>
      <c r="AL44" s="44">
        <f t="shared" si="35"/>
        <v>276200.55373434816</v>
      </c>
      <c r="AM44" s="44">
        <f t="shared" si="36"/>
        <v>276200.55373434816</v>
      </c>
      <c r="AN44" s="44">
        <f t="shared" si="37"/>
        <v>276200.55373434816</v>
      </c>
      <c r="AO44" s="44">
        <f t="shared" si="38"/>
        <v>276200.55373434816</v>
      </c>
      <c r="AP44" s="44">
        <f t="shared" si="39"/>
        <v>293213.78622171207</v>
      </c>
      <c r="AQ44" s="44">
        <f t="shared" si="40"/>
        <v>293213.78622171207</v>
      </c>
      <c r="AR44" s="44">
        <f t="shared" si="41"/>
        <v>293213.78622171207</v>
      </c>
      <c r="AS44" s="44">
        <f t="shared" si="42"/>
        <v>293213.78622171207</v>
      </c>
    </row>
    <row r="45" spans="1:45" x14ac:dyDescent="0.2">
      <c r="A45" s="4">
        <v>1980.3</v>
      </c>
      <c r="B45" s="44">
        <f>chainindex!AK45/chainindex!AK46*newbrowser!B46</f>
        <v>260405.39944857801</v>
      </c>
      <c r="C45" s="44">
        <f t="shared" si="0"/>
        <v>260672.14968018001</v>
      </c>
      <c r="D45" s="44">
        <f t="shared" si="1"/>
        <v>260672.14968018001</v>
      </c>
      <c r="E45" s="44">
        <f t="shared" si="2"/>
        <v>260672.14968018001</v>
      </c>
      <c r="F45" s="44">
        <f t="shared" si="3"/>
        <v>260672.14968018001</v>
      </c>
      <c r="G45" s="44">
        <f t="shared" si="4"/>
        <v>260550.25418063469</v>
      </c>
      <c r="H45" s="44">
        <f t="shared" si="5"/>
        <v>260550.25418063469</v>
      </c>
      <c r="I45" s="44">
        <f t="shared" si="6"/>
        <v>260550.25418063469</v>
      </c>
      <c r="J45" s="44">
        <f t="shared" si="7"/>
        <v>260550.25418063469</v>
      </c>
      <c r="K45" s="44">
        <f t="shared" si="8"/>
        <v>260550.25418063469</v>
      </c>
      <c r="L45" s="44">
        <f t="shared" si="9"/>
        <v>260550.25418063469</v>
      </c>
      <c r="M45" s="44">
        <f t="shared" si="10"/>
        <v>260550.25563720788</v>
      </c>
      <c r="N45" s="44">
        <f t="shared" si="11"/>
        <v>260576.91092380331</v>
      </c>
      <c r="O45" s="44">
        <f t="shared" si="12"/>
        <v>260576.91092380331</v>
      </c>
      <c r="P45" s="44">
        <f t="shared" si="13"/>
        <v>260576.91092380331</v>
      </c>
      <c r="Q45" s="44">
        <f t="shared" si="14"/>
        <v>260576.91092380331</v>
      </c>
      <c r="R45" s="44">
        <f t="shared" si="15"/>
        <v>260591.54948283528</v>
      </c>
      <c r="S45" s="44">
        <f t="shared" si="16"/>
        <v>260591.54948283528</v>
      </c>
      <c r="T45" s="44">
        <f t="shared" si="17"/>
        <v>260591.54948283528</v>
      </c>
      <c r="U45" s="44">
        <f t="shared" si="18"/>
        <v>260591.54948283528</v>
      </c>
      <c r="V45" s="44">
        <f t="shared" si="19"/>
        <v>276452.46460831369</v>
      </c>
      <c r="W45" s="44">
        <f t="shared" si="20"/>
        <v>276452.46460831369</v>
      </c>
      <c r="X45" s="44">
        <f t="shared" si="21"/>
        <v>276452.46460831369</v>
      </c>
      <c r="Y45" s="44">
        <f t="shared" si="22"/>
        <v>276452.46460831369</v>
      </c>
      <c r="Z45" s="44">
        <f t="shared" si="23"/>
        <v>276230.91984923254</v>
      </c>
      <c r="AA45" s="44">
        <f t="shared" si="24"/>
        <v>276230.91984923254</v>
      </c>
      <c r="AB45" s="44">
        <f t="shared" si="25"/>
        <v>276230.91984923254</v>
      </c>
      <c r="AC45" s="44">
        <f t="shared" si="26"/>
        <v>276230.91984923254</v>
      </c>
      <c r="AD45" s="44">
        <f t="shared" si="27"/>
        <v>276623.75759758364</v>
      </c>
      <c r="AE45" s="44">
        <f t="shared" si="28"/>
        <v>276623.75759758364</v>
      </c>
      <c r="AF45" s="44">
        <f t="shared" si="29"/>
        <v>276623.75759758364</v>
      </c>
      <c r="AG45" s="44">
        <f t="shared" si="30"/>
        <v>276623.75759758364</v>
      </c>
      <c r="AH45" s="44">
        <f t="shared" si="31"/>
        <v>276707.14640400943</v>
      </c>
      <c r="AI45" s="44">
        <f t="shared" si="32"/>
        <v>276707.14640400943</v>
      </c>
      <c r="AJ45" s="44">
        <f t="shared" si="33"/>
        <v>276707.14640400943</v>
      </c>
      <c r="AK45" s="44">
        <f t="shared" si="34"/>
        <v>276707.14640400943</v>
      </c>
      <c r="AL45" s="44">
        <f t="shared" si="35"/>
        <v>276431.92692847765</v>
      </c>
      <c r="AM45" s="44">
        <f t="shared" si="36"/>
        <v>276431.92692847765</v>
      </c>
      <c r="AN45" s="44">
        <f t="shared" si="37"/>
        <v>276431.92692847765</v>
      </c>
      <c r="AO45" s="44">
        <f t="shared" si="38"/>
        <v>276431.92692847765</v>
      </c>
      <c r="AP45" s="44">
        <f t="shared" si="39"/>
        <v>293459.41140009667</v>
      </c>
      <c r="AQ45" s="44">
        <f t="shared" si="40"/>
        <v>293459.41140009667</v>
      </c>
      <c r="AR45" s="44">
        <f t="shared" si="41"/>
        <v>293459.41140009667</v>
      </c>
      <c r="AS45" s="44">
        <f t="shared" si="42"/>
        <v>293459.41140009667</v>
      </c>
    </row>
    <row r="46" spans="1:45" x14ac:dyDescent="0.2">
      <c r="A46" s="4">
        <v>1980.4</v>
      </c>
      <c r="B46" s="44">
        <f>chainindex!AK46/chainindex!AK47*newbrowser!B47</f>
        <v>262624.07185062661</v>
      </c>
      <c r="C46" s="44">
        <f t="shared" si="0"/>
        <v>262893.0948130489</v>
      </c>
      <c r="D46" s="44">
        <f t="shared" si="1"/>
        <v>262893.0948130489</v>
      </c>
      <c r="E46" s="44">
        <f t="shared" si="2"/>
        <v>262893.0948130489</v>
      </c>
      <c r="F46" s="44">
        <f t="shared" si="3"/>
        <v>262893.0948130489</v>
      </c>
      <c r="G46" s="44">
        <f t="shared" si="4"/>
        <v>262770.160755235</v>
      </c>
      <c r="H46" s="44">
        <f t="shared" si="5"/>
        <v>262770.160755235</v>
      </c>
      <c r="I46" s="44">
        <f t="shared" si="6"/>
        <v>262770.160755235</v>
      </c>
      <c r="J46" s="44">
        <f t="shared" si="7"/>
        <v>262770.160755235</v>
      </c>
      <c r="K46" s="44">
        <f t="shared" si="8"/>
        <v>262770.160755235</v>
      </c>
      <c r="L46" s="44">
        <f t="shared" si="9"/>
        <v>262770.160755235</v>
      </c>
      <c r="M46" s="44">
        <f t="shared" si="10"/>
        <v>262770.16222421831</v>
      </c>
      <c r="N46" s="44">
        <f t="shared" si="11"/>
        <v>262797.04461573885</v>
      </c>
      <c r="O46" s="44">
        <f t="shared" si="12"/>
        <v>262797.04461573885</v>
      </c>
      <c r="P46" s="44">
        <f t="shared" si="13"/>
        <v>262797.04461573885</v>
      </c>
      <c r="Q46" s="44">
        <f t="shared" si="14"/>
        <v>262797.04461573885</v>
      </c>
      <c r="R46" s="44">
        <f t="shared" si="15"/>
        <v>262811.80789632804</v>
      </c>
      <c r="S46" s="44">
        <f t="shared" si="16"/>
        <v>262811.80789632804</v>
      </c>
      <c r="T46" s="44">
        <f t="shared" si="17"/>
        <v>262811.80789632804</v>
      </c>
      <c r="U46" s="44">
        <f t="shared" si="18"/>
        <v>262811.80789632804</v>
      </c>
      <c r="V46" s="44">
        <f t="shared" si="19"/>
        <v>278807.85913931648</v>
      </c>
      <c r="W46" s="44">
        <f t="shared" si="20"/>
        <v>278807.85913931648</v>
      </c>
      <c r="X46" s="44">
        <f t="shared" si="21"/>
        <v>278807.85913931648</v>
      </c>
      <c r="Y46" s="44">
        <f t="shared" si="22"/>
        <v>278807.85913931648</v>
      </c>
      <c r="Z46" s="44">
        <f t="shared" si="23"/>
        <v>278584.42680323491</v>
      </c>
      <c r="AA46" s="44">
        <f t="shared" si="24"/>
        <v>278584.42680323491</v>
      </c>
      <c r="AB46" s="44">
        <f t="shared" si="25"/>
        <v>278584.42680323491</v>
      </c>
      <c r="AC46" s="44">
        <f t="shared" si="26"/>
        <v>278584.42680323491</v>
      </c>
      <c r="AD46" s="44">
        <f t="shared" si="27"/>
        <v>278980.61155695759</v>
      </c>
      <c r="AE46" s="44">
        <f t="shared" si="28"/>
        <v>278980.61155695759</v>
      </c>
      <c r="AF46" s="44">
        <f t="shared" si="29"/>
        <v>278980.61155695759</v>
      </c>
      <c r="AG46" s="44">
        <f t="shared" si="30"/>
        <v>278980.61155695759</v>
      </c>
      <c r="AH46" s="44">
        <f t="shared" si="31"/>
        <v>279064.71084190591</v>
      </c>
      <c r="AI46" s="44">
        <f t="shared" si="32"/>
        <v>279064.71084190591</v>
      </c>
      <c r="AJ46" s="44">
        <f t="shared" si="33"/>
        <v>279064.71084190591</v>
      </c>
      <c r="AK46" s="44">
        <f t="shared" si="34"/>
        <v>279064.71084190591</v>
      </c>
      <c r="AL46" s="44">
        <f t="shared" si="35"/>
        <v>278787.14647699718</v>
      </c>
      <c r="AM46" s="44">
        <f t="shared" si="36"/>
        <v>278787.14647699718</v>
      </c>
      <c r="AN46" s="44">
        <f t="shared" si="37"/>
        <v>278787.14647699718</v>
      </c>
      <c r="AO46" s="44">
        <f t="shared" si="38"/>
        <v>278787.14647699718</v>
      </c>
      <c r="AP46" s="44">
        <f t="shared" si="39"/>
        <v>295959.70631937846</v>
      </c>
      <c r="AQ46" s="44">
        <f t="shared" si="40"/>
        <v>295959.70631937846</v>
      </c>
      <c r="AR46" s="44">
        <f t="shared" si="41"/>
        <v>295959.70631937846</v>
      </c>
      <c r="AS46" s="44">
        <f t="shared" si="42"/>
        <v>295959.70631937846</v>
      </c>
    </row>
    <row r="47" spans="1:45" x14ac:dyDescent="0.2">
      <c r="A47" s="4">
        <v>1981.1</v>
      </c>
      <c r="B47" s="44">
        <f>chainindex!AK47/chainindex!AK48*newbrowser!B48</f>
        <v>261771.7769644738</v>
      </c>
      <c r="C47" s="44">
        <f t="shared" si="0"/>
        <v>262039.92686566629</v>
      </c>
      <c r="D47" s="44">
        <f t="shared" si="1"/>
        <v>262039.92686566629</v>
      </c>
      <c r="E47" s="44">
        <f t="shared" si="2"/>
        <v>262039.92686566629</v>
      </c>
      <c r="F47" s="44">
        <f t="shared" si="3"/>
        <v>262039.92686566629</v>
      </c>
      <c r="G47" s="44">
        <f t="shared" si="4"/>
        <v>261917.39176621169</v>
      </c>
      <c r="H47" s="44">
        <f t="shared" si="5"/>
        <v>261917.39176621169</v>
      </c>
      <c r="I47" s="44">
        <f t="shared" si="6"/>
        <v>261917.39176621169</v>
      </c>
      <c r="J47" s="44">
        <f t="shared" si="7"/>
        <v>261917.39176621169</v>
      </c>
      <c r="K47" s="44">
        <f t="shared" si="8"/>
        <v>261917.39176621169</v>
      </c>
      <c r="L47" s="44">
        <f t="shared" si="9"/>
        <v>261917.39176621169</v>
      </c>
      <c r="M47" s="44">
        <f t="shared" si="10"/>
        <v>261917.39323042767</v>
      </c>
      <c r="N47" s="44">
        <f t="shared" si="11"/>
        <v>261944.18838042213</v>
      </c>
      <c r="O47" s="44">
        <f t="shared" si="12"/>
        <v>261944.18838042213</v>
      </c>
      <c r="P47" s="44">
        <f t="shared" si="13"/>
        <v>261944.18838042213</v>
      </c>
      <c r="Q47" s="44">
        <f t="shared" si="14"/>
        <v>261944.18838042213</v>
      </c>
      <c r="R47" s="44">
        <f t="shared" si="15"/>
        <v>261958.90374968143</v>
      </c>
      <c r="S47" s="44">
        <f t="shared" si="16"/>
        <v>261958.90374968143</v>
      </c>
      <c r="T47" s="44">
        <f t="shared" si="17"/>
        <v>261958.90374968143</v>
      </c>
      <c r="U47" s="44">
        <f t="shared" si="18"/>
        <v>261958.90374968143</v>
      </c>
      <c r="V47" s="44">
        <f t="shared" si="19"/>
        <v>277903.04294752877</v>
      </c>
      <c r="W47" s="44">
        <f t="shared" si="20"/>
        <v>277903.04294752877</v>
      </c>
      <c r="X47" s="44">
        <f t="shared" si="21"/>
        <v>277903.04294752877</v>
      </c>
      <c r="Y47" s="44">
        <f t="shared" si="22"/>
        <v>277903.04294752877</v>
      </c>
      <c r="Z47" s="44">
        <f t="shared" si="23"/>
        <v>277680.33571724617</v>
      </c>
      <c r="AA47" s="44">
        <f t="shared" si="24"/>
        <v>277680.33571724617</v>
      </c>
      <c r="AB47" s="44">
        <f t="shared" si="25"/>
        <v>277680.33571724617</v>
      </c>
      <c r="AC47" s="44">
        <f t="shared" si="26"/>
        <v>277680.33571724617</v>
      </c>
      <c r="AD47" s="44">
        <f t="shared" si="27"/>
        <v>278075.2347311005</v>
      </c>
      <c r="AE47" s="44">
        <f t="shared" si="28"/>
        <v>278075.2347311005</v>
      </c>
      <c r="AF47" s="44">
        <f t="shared" si="29"/>
        <v>278075.2347311005</v>
      </c>
      <c r="AG47" s="44">
        <f t="shared" si="30"/>
        <v>278075.2347311005</v>
      </c>
      <c r="AH47" s="44">
        <f t="shared" si="31"/>
        <v>278159.06108832371</v>
      </c>
      <c r="AI47" s="44">
        <f t="shared" si="32"/>
        <v>278159.06108832371</v>
      </c>
      <c r="AJ47" s="44">
        <f t="shared" si="33"/>
        <v>278159.06108832371</v>
      </c>
      <c r="AK47" s="44">
        <f t="shared" si="34"/>
        <v>278159.06108832371</v>
      </c>
      <c r="AL47" s="44">
        <f t="shared" si="35"/>
        <v>277882.39750409027</v>
      </c>
      <c r="AM47" s="44">
        <f t="shared" si="36"/>
        <v>277882.39750409027</v>
      </c>
      <c r="AN47" s="44">
        <f t="shared" si="37"/>
        <v>277882.39750409027</v>
      </c>
      <c r="AO47" s="44">
        <f t="shared" si="38"/>
        <v>277882.39750409027</v>
      </c>
      <c r="AP47" s="44">
        <f t="shared" si="39"/>
        <v>294999.22717355675</v>
      </c>
      <c r="AQ47" s="44">
        <f t="shared" si="40"/>
        <v>294999.22717355675</v>
      </c>
      <c r="AR47" s="44">
        <f t="shared" si="41"/>
        <v>294999.22717355675</v>
      </c>
      <c r="AS47" s="44">
        <f t="shared" si="42"/>
        <v>294999.22717355675</v>
      </c>
    </row>
    <row r="48" spans="1:45" x14ac:dyDescent="0.2">
      <c r="A48" s="4">
        <v>1981.2</v>
      </c>
      <c r="B48" s="44">
        <f>chainindex!AK48/chainindex!AK49*newbrowser!B49</f>
        <v>262282.74270026525</v>
      </c>
      <c r="C48" s="44">
        <f t="shared" si="0"/>
        <v>262551.41601698083</v>
      </c>
      <c r="D48" s="44">
        <f t="shared" si="1"/>
        <v>262551.41601698083</v>
      </c>
      <c r="E48" s="44">
        <f t="shared" si="2"/>
        <v>262551.41601698083</v>
      </c>
      <c r="F48" s="44">
        <f t="shared" si="3"/>
        <v>262551.41601698083</v>
      </c>
      <c r="G48" s="44">
        <f t="shared" si="4"/>
        <v>262428.64173499105</v>
      </c>
      <c r="H48" s="44">
        <f t="shared" si="5"/>
        <v>262428.64173499105</v>
      </c>
      <c r="I48" s="44">
        <f t="shared" si="6"/>
        <v>262428.64173499105</v>
      </c>
      <c r="J48" s="44">
        <f t="shared" si="7"/>
        <v>262428.64173499105</v>
      </c>
      <c r="K48" s="44">
        <f t="shared" si="8"/>
        <v>262428.64173499105</v>
      </c>
      <c r="L48" s="44">
        <f t="shared" si="9"/>
        <v>262428.64173499105</v>
      </c>
      <c r="M48" s="44">
        <f t="shared" si="10"/>
        <v>262428.64320206508</v>
      </c>
      <c r="N48" s="44">
        <f t="shared" si="11"/>
        <v>262455.4906548849</v>
      </c>
      <c r="O48" s="44">
        <f t="shared" si="12"/>
        <v>262455.4906548849</v>
      </c>
      <c r="P48" s="44">
        <f t="shared" si="13"/>
        <v>262455.4906548849</v>
      </c>
      <c r="Q48" s="44">
        <f t="shared" si="14"/>
        <v>262455.4906548849</v>
      </c>
      <c r="R48" s="44">
        <f t="shared" si="15"/>
        <v>262470.23474782699</v>
      </c>
      <c r="S48" s="44">
        <f t="shared" si="16"/>
        <v>262470.23474782699</v>
      </c>
      <c r="T48" s="44">
        <f t="shared" si="17"/>
        <v>262470.23474782699</v>
      </c>
      <c r="U48" s="44">
        <f t="shared" si="18"/>
        <v>262470.23474782699</v>
      </c>
      <c r="V48" s="44">
        <f t="shared" si="19"/>
        <v>278445.49612741318</v>
      </c>
      <c r="W48" s="44">
        <f t="shared" si="20"/>
        <v>278445.49612741318</v>
      </c>
      <c r="X48" s="44">
        <f t="shared" si="21"/>
        <v>278445.49612741318</v>
      </c>
      <c r="Y48" s="44">
        <f t="shared" si="22"/>
        <v>278445.49612741318</v>
      </c>
      <c r="Z48" s="44">
        <f t="shared" si="23"/>
        <v>278222.35418348381</v>
      </c>
      <c r="AA48" s="44">
        <f t="shared" si="24"/>
        <v>278222.35418348381</v>
      </c>
      <c r="AB48" s="44">
        <f t="shared" si="25"/>
        <v>278222.35418348381</v>
      </c>
      <c r="AC48" s="44">
        <f t="shared" si="26"/>
        <v>278222.35418348381</v>
      </c>
      <c r="AD48" s="44">
        <f t="shared" si="27"/>
        <v>278618.02402094455</v>
      </c>
      <c r="AE48" s="44">
        <f t="shared" si="28"/>
        <v>278618.02402094455</v>
      </c>
      <c r="AF48" s="44">
        <f t="shared" si="29"/>
        <v>278618.02402094455</v>
      </c>
      <c r="AG48" s="44">
        <f t="shared" si="30"/>
        <v>278618.02402094455</v>
      </c>
      <c r="AH48" s="44">
        <f t="shared" si="31"/>
        <v>278702.01400312682</v>
      </c>
      <c r="AI48" s="44">
        <f t="shared" si="32"/>
        <v>278702.01400312682</v>
      </c>
      <c r="AJ48" s="44">
        <f t="shared" si="33"/>
        <v>278702.01400312682</v>
      </c>
      <c r="AK48" s="44">
        <f t="shared" si="34"/>
        <v>278702.01400312682</v>
      </c>
      <c r="AL48" s="44">
        <f t="shared" si="35"/>
        <v>278424.81038507645</v>
      </c>
      <c r="AM48" s="44">
        <f t="shared" si="36"/>
        <v>278424.81038507645</v>
      </c>
      <c r="AN48" s="44">
        <f t="shared" si="37"/>
        <v>278424.81038507645</v>
      </c>
      <c r="AO48" s="44">
        <f t="shared" si="38"/>
        <v>278424.81038507645</v>
      </c>
      <c r="AP48" s="44">
        <f t="shared" si="39"/>
        <v>295575.05127086234</v>
      </c>
      <c r="AQ48" s="44">
        <f t="shared" si="40"/>
        <v>295575.05127086234</v>
      </c>
      <c r="AR48" s="44">
        <f t="shared" si="41"/>
        <v>295575.05127086234</v>
      </c>
      <c r="AS48" s="44">
        <f t="shared" si="42"/>
        <v>295575.05127086234</v>
      </c>
    </row>
    <row r="49" spans="1:45" x14ac:dyDescent="0.2">
      <c r="A49" s="4">
        <v>1981.3</v>
      </c>
      <c r="B49" s="44">
        <f>chainindex!AK49/chainindex!AK50*newbrowser!B50</f>
        <v>262404.95842332981</v>
      </c>
      <c r="C49" s="44">
        <f t="shared" si="0"/>
        <v>262673.75693358015</v>
      </c>
      <c r="D49" s="44">
        <f t="shared" si="1"/>
        <v>262673.75693358015</v>
      </c>
      <c r="E49" s="44">
        <f t="shared" si="2"/>
        <v>262673.75693358015</v>
      </c>
      <c r="F49" s="44">
        <f t="shared" si="3"/>
        <v>262673.75693358015</v>
      </c>
      <c r="G49" s="44">
        <f t="shared" si="4"/>
        <v>262550.92544253619</v>
      </c>
      <c r="H49" s="44">
        <f t="shared" si="5"/>
        <v>262550.92544253619</v>
      </c>
      <c r="I49" s="44">
        <f t="shared" si="6"/>
        <v>262550.92544253619</v>
      </c>
      <c r="J49" s="44">
        <f t="shared" si="7"/>
        <v>262550.92544253619</v>
      </c>
      <c r="K49" s="44">
        <f t="shared" si="8"/>
        <v>262550.92544253619</v>
      </c>
      <c r="L49" s="44">
        <f t="shared" si="9"/>
        <v>262550.92544253619</v>
      </c>
      <c r="M49" s="44">
        <f t="shared" si="10"/>
        <v>262550.92691029381</v>
      </c>
      <c r="N49" s="44">
        <f t="shared" si="11"/>
        <v>262577.78687320417</v>
      </c>
      <c r="O49" s="44">
        <f t="shared" si="12"/>
        <v>262577.78687320417</v>
      </c>
      <c r="P49" s="44">
        <f t="shared" si="13"/>
        <v>262577.78687320417</v>
      </c>
      <c r="Q49" s="44">
        <f t="shared" si="14"/>
        <v>262577.78687320417</v>
      </c>
      <c r="R49" s="44">
        <f t="shared" si="15"/>
        <v>262592.53783644189</v>
      </c>
      <c r="S49" s="44">
        <f t="shared" si="16"/>
        <v>262592.53783644189</v>
      </c>
      <c r="T49" s="44">
        <f t="shared" si="17"/>
        <v>262592.53783644189</v>
      </c>
      <c r="U49" s="44">
        <f t="shared" si="18"/>
        <v>262592.53783644189</v>
      </c>
      <c r="V49" s="44">
        <f t="shared" si="19"/>
        <v>278575.24319842871</v>
      </c>
      <c r="W49" s="44">
        <f t="shared" si="20"/>
        <v>278575.24319842871</v>
      </c>
      <c r="X49" s="44">
        <f t="shared" si="21"/>
        <v>278575.24319842871</v>
      </c>
      <c r="Y49" s="44">
        <f t="shared" si="22"/>
        <v>278575.24319842871</v>
      </c>
      <c r="Z49" s="44">
        <f t="shared" si="23"/>
        <v>278351.99727718945</v>
      </c>
      <c r="AA49" s="44">
        <f t="shared" si="24"/>
        <v>278351.99727718945</v>
      </c>
      <c r="AB49" s="44">
        <f t="shared" si="25"/>
        <v>278351.99727718945</v>
      </c>
      <c r="AC49" s="44">
        <f t="shared" si="26"/>
        <v>278351.99727718945</v>
      </c>
      <c r="AD49" s="44">
        <f t="shared" si="27"/>
        <v>278747.8514846731</v>
      </c>
      <c r="AE49" s="44">
        <f t="shared" si="28"/>
        <v>278747.8514846731</v>
      </c>
      <c r="AF49" s="44">
        <f t="shared" si="29"/>
        <v>278747.8514846731</v>
      </c>
      <c r="AG49" s="44">
        <f t="shared" si="30"/>
        <v>278747.8514846731</v>
      </c>
      <c r="AH49" s="44">
        <f t="shared" si="31"/>
        <v>278831.88060361403</v>
      </c>
      <c r="AI49" s="44">
        <f t="shared" si="32"/>
        <v>278831.88060361403</v>
      </c>
      <c r="AJ49" s="44">
        <f t="shared" si="33"/>
        <v>278831.88060361403</v>
      </c>
      <c r="AK49" s="44">
        <f t="shared" si="34"/>
        <v>278831.88060361403</v>
      </c>
      <c r="AL49" s="44">
        <f t="shared" si="35"/>
        <v>278554.54781716981</v>
      </c>
      <c r="AM49" s="44">
        <f t="shared" si="36"/>
        <v>278554.54781716981</v>
      </c>
      <c r="AN49" s="44">
        <f t="shared" si="37"/>
        <v>278554.54781716981</v>
      </c>
      <c r="AO49" s="44">
        <f t="shared" si="38"/>
        <v>278554.54781716981</v>
      </c>
      <c r="AP49" s="44">
        <f t="shared" si="39"/>
        <v>295712.78018981073</v>
      </c>
      <c r="AQ49" s="44">
        <f t="shared" si="40"/>
        <v>295712.78018981073</v>
      </c>
      <c r="AR49" s="44">
        <f t="shared" si="41"/>
        <v>295712.78018981073</v>
      </c>
      <c r="AS49" s="44">
        <f t="shared" si="42"/>
        <v>295712.78018981073</v>
      </c>
    </row>
    <row r="50" spans="1:45" x14ac:dyDescent="0.2">
      <c r="A50" s="4">
        <v>1981.4</v>
      </c>
      <c r="B50" s="44">
        <f>chainindex!AK50/chainindex!AK51*newbrowser!B51</f>
        <v>264534.63240609405</v>
      </c>
      <c r="C50" s="44">
        <f t="shared" si="0"/>
        <v>264805.61248028022</v>
      </c>
      <c r="D50" s="44">
        <f t="shared" si="1"/>
        <v>264805.61248028022</v>
      </c>
      <c r="E50" s="44">
        <f t="shared" si="2"/>
        <v>264805.61248028022</v>
      </c>
      <c r="F50" s="44">
        <f t="shared" si="3"/>
        <v>264805.61248028022</v>
      </c>
      <c r="G50" s="44">
        <f t="shared" si="4"/>
        <v>264681.78409103618</v>
      </c>
      <c r="H50" s="44">
        <f t="shared" si="5"/>
        <v>264681.78409103618</v>
      </c>
      <c r="I50" s="44">
        <f t="shared" si="6"/>
        <v>264681.78409103618</v>
      </c>
      <c r="J50" s="44">
        <f t="shared" si="7"/>
        <v>264681.78409103618</v>
      </c>
      <c r="K50" s="44">
        <f t="shared" si="8"/>
        <v>264681.78409103618</v>
      </c>
      <c r="L50" s="44">
        <f t="shared" si="9"/>
        <v>264681.78409103618</v>
      </c>
      <c r="M50" s="44">
        <f t="shared" si="10"/>
        <v>264681.78557070612</v>
      </c>
      <c r="N50" s="44">
        <f t="shared" si="11"/>
        <v>264708.86352859851</v>
      </c>
      <c r="O50" s="44">
        <f t="shared" si="12"/>
        <v>264708.86352859851</v>
      </c>
      <c r="P50" s="44">
        <f t="shared" si="13"/>
        <v>264708.86352859851</v>
      </c>
      <c r="Q50" s="44">
        <f t="shared" si="14"/>
        <v>264708.86352859851</v>
      </c>
      <c r="R50" s="44">
        <f t="shared" si="15"/>
        <v>264723.73421039194</v>
      </c>
      <c r="S50" s="44">
        <f t="shared" si="16"/>
        <v>264723.73421039194</v>
      </c>
      <c r="T50" s="44">
        <f t="shared" si="17"/>
        <v>264723.73421039194</v>
      </c>
      <c r="U50" s="44">
        <f t="shared" si="18"/>
        <v>264723.73421039194</v>
      </c>
      <c r="V50" s="44">
        <f t="shared" si="19"/>
        <v>280836.15492527501</v>
      </c>
      <c r="W50" s="44">
        <f t="shared" si="20"/>
        <v>280836.15492527501</v>
      </c>
      <c r="X50" s="44">
        <f t="shared" si="21"/>
        <v>280836.15492527501</v>
      </c>
      <c r="Y50" s="44">
        <f t="shared" si="22"/>
        <v>280836.15492527501</v>
      </c>
      <c r="Z50" s="44">
        <f t="shared" si="23"/>
        <v>280611.09714410338</v>
      </c>
      <c r="AA50" s="44">
        <f t="shared" si="24"/>
        <v>280611.09714410338</v>
      </c>
      <c r="AB50" s="44">
        <f t="shared" si="25"/>
        <v>280611.09714410338</v>
      </c>
      <c r="AC50" s="44">
        <f t="shared" si="26"/>
        <v>280611.09714410338</v>
      </c>
      <c r="AD50" s="44">
        <f t="shared" si="27"/>
        <v>281010.16409730539</v>
      </c>
      <c r="AE50" s="44">
        <f t="shared" si="28"/>
        <v>281010.16409730539</v>
      </c>
      <c r="AF50" s="44">
        <f t="shared" si="29"/>
        <v>281010.16409730539</v>
      </c>
      <c r="AG50" s="44">
        <f t="shared" si="30"/>
        <v>281010.16409730539</v>
      </c>
      <c r="AH50" s="44">
        <f t="shared" si="31"/>
        <v>281094.87519508344</v>
      </c>
      <c r="AI50" s="44">
        <f t="shared" si="32"/>
        <v>281094.87519508344</v>
      </c>
      <c r="AJ50" s="44">
        <f t="shared" si="33"/>
        <v>281094.87519508344</v>
      </c>
      <c r="AK50" s="44">
        <f t="shared" si="34"/>
        <v>281094.87519508344</v>
      </c>
      <c r="AL50" s="44">
        <f t="shared" si="35"/>
        <v>280815.29158066929</v>
      </c>
      <c r="AM50" s="44">
        <f t="shared" si="36"/>
        <v>280815.29158066929</v>
      </c>
      <c r="AN50" s="44">
        <f t="shared" si="37"/>
        <v>280815.29158066929</v>
      </c>
      <c r="AO50" s="44">
        <f t="shared" si="38"/>
        <v>280815.29158066929</v>
      </c>
      <c r="AP50" s="44">
        <f t="shared" si="39"/>
        <v>298112.77986254985</v>
      </c>
      <c r="AQ50" s="44">
        <f t="shared" si="40"/>
        <v>298112.77986254985</v>
      </c>
      <c r="AR50" s="44">
        <f t="shared" si="41"/>
        <v>298112.77986254985</v>
      </c>
      <c r="AS50" s="44">
        <f t="shared" si="42"/>
        <v>298112.77986254985</v>
      </c>
    </row>
    <row r="51" spans="1:45" x14ac:dyDescent="0.2">
      <c r="A51" s="4">
        <v>1982.1</v>
      </c>
      <c r="B51" s="44">
        <f>chainindex!AK51/chainindex!AK52*newbrowser!B52</f>
        <v>264429.31885749585</v>
      </c>
      <c r="C51" s="44">
        <f t="shared" si="0"/>
        <v>264700.19105214672</v>
      </c>
      <c r="D51" s="44">
        <f t="shared" si="1"/>
        <v>264700.19105214672</v>
      </c>
      <c r="E51" s="44">
        <f t="shared" si="2"/>
        <v>264700.19105214672</v>
      </c>
      <c r="F51" s="44">
        <f t="shared" si="3"/>
        <v>264700.19105214672</v>
      </c>
      <c r="G51" s="44">
        <f t="shared" si="4"/>
        <v>264576.41196006641</v>
      </c>
      <c r="H51" s="44">
        <f t="shared" si="5"/>
        <v>264576.41196006641</v>
      </c>
      <c r="I51" s="44">
        <f t="shared" si="6"/>
        <v>264576.41196006641</v>
      </c>
      <c r="J51" s="44">
        <f t="shared" si="7"/>
        <v>264576.41196006641</v>
      </c>
      <c r="K51" s="44">
        <f t="shared" si="8"/>
        <v>264576.41196006641</v>
      </c>
      <c r="L51" s="44">
        <f t="shared" si="9"/>
        <v>264576.41196006641</v>
      </c>
      <c r="M51" s="44">
        <f t="shared" si="10"/>
        <v>264576.41343914729</v>
      </c>
      <c r="N51" s="44">
        <f t="shared" si="11"/>
        <v>264603.48061706801</v>
      </c>
      <c r="O51" s="44">
        <f t="shared" si="12"/>
        <v>264603.48061706801</v>
      </c>
      <c r="P51" s="44">
        <f t="shared" si="13"/>
        <v>264603.48061706801</v>
      </c>
      <c r="Q51" s="44">
        <f t="shared" si="14"/>
        <v>264603.48061706801</v>
      </c>
      <c r="R51" s="44">
        <f t="shared" si="15"/>
        <v>264618.3453787131</v>
      </c>
      <c r="S51" s="44">
        <f t="shared" si="16"/>
        <v>264618.3453787131</v>
      </c>
      <c r="T51" s="44">
        <f t="shared" si="17"/>
        <v>264618.3453787131</v>
      </c>
      <c r="U51" s="44">
        <f t="shared" si="18"/>
        <v>264618.3453787131</v>
      </c>
      <c r="V51" s="44">
        <f t="shared" si="19"/>
        <v>280724.35159812326</v>
      </c>
      <c r="W51" s="44">
        <f t="shared" si="20"/>
        <v>280724.35159812326</v>
      </c>
      <c r="X51" s="44">
        <f t="shared" si="21"/>
        <v>280724.35159812326</v>
      </c>
      <c r="Y51" s="44">
        <f t="shared" si="22"/>
        <v>280724.35159812326</v>
      </c>
      <c r="Z51" s="44">
        <f t="shared" si="23"/>
        <v>280499.38341442082</v>
      </c>
      <c r="AA51" s="44">
        <f t="shared" si="24"/>
        <v>280499.38341442082</v>
      </c>
      <c r="AB51" s="44">
        <f t="shared" si="25"/>
        <v>280499.38341442082</v>
      </c>
      <c r="AC51" s="44">
        <f t="shared" si="26"/>
        <v>280499.38341442082</v>
      </c>
      <c r="AD51" s="44">
        <f t="shared" si="27"/>
        <v>280898.2914955818</v>
      </c>
      <c r="AE51" s="44">
        <f t="shared" si="28"/>
        <v>280898.2914955818</v>
      </c>
      <c r="AF51" s="44">
        <f t="shared" si="29"/>
        <v>280898.2914955818</v>
      </c>
      <c r="AG51" s="44">
        <f t="shared" si="30"/>
        <v>280898.2914955818</v>
      </c>
      <c r="AH51" s="44">
        <f t="shared" si="31"/>
        <v>280982.96886913164</v>
      </c>
      <c r="AI51" s="44">
        <f t="shared" si="32"/>
        <v>280982.96886913164</v>
      </c>
      <c r="AJ51" s="44">
        <f t="shared" si="33"/>
        <v>280982.96886913164</v>
      </c>
      <c r="AK51" s="44">
        <f t="shared" si="34"/>
        <v>280982.96886913164</v>
      </c>
      <c r="AL51" s="44">
        <f t="shared" si="35"/>
        <v>280703.49655939732</v>
      </c>
      <c r="AM51" s="44">
        <f t="shared" si="36"/>
        <v>280703.49655939732</v>
      </c>
      <c r="AN51" s="44">
        <f t="shared" si="37"/>
        <v>280703.49655939732</v>
      </c>
      <c r="AO51" s="44">
        <f t="shared" si="38"/>
        <v>280703.49655939732</v>
      </c>
      <c r="AP51" s="44">
        <f t="shared" si="39"/>
        <v>297994.09856005176</v>
      </c>
      <c r="AQ51" s="44">
        <f t="shared" si="40"/>
        <v>297994.09856005176</v>
      </c>
      <c r="AR51" s="44">
        <f t="shared" si="41"/>
        <v>297994.09856005176</v>
      </c>
      <c r="AS51" s="44">
        <f t="shared" si="42"/>
        <v>297994.09856005176</v>
      </c>
    </row>
    <row r="52" spans="1:45" x14ac:dyDescent="0.2">
      <c r="A52" s="4">
        <v>1982.2</v>
      </c>
      <c r="B52" s="44">
        <f>chainindex!AK52/chainindex!AK53*newbrowser!B53</f>
        <v>263677.82217737508</v>
      </c>
      <c r="C52" s="44">
        <f t="shared" si="0"/>
        <v>263947.92456497165</v>
      </c>
      <c r="D52" s="44">
        <f t="shared" si="1"/>
        <v>263947.92456497165</v>
      </c>
      <c r="E52" s="44">
        <f t="shared" si="2"/>
        <v>263947.92456497165</v>
      </c>
      <c r="F52" s="44">
        <f t="shared" si="3"/>
        <v>263947.92456497165</v>
      </c>
      <c r="G52" s="44">
        <f t="shared" si="4"/>
        <v>263824.49724771408</v>
      </c>
      <c r="H52" s="44">
        <f t="shared" si="5"/>
        <v>263824.49724771408</v>
      </c>
      <c r="I52" s="44">
        <f t="shared" si="6"/>
        <v>263824.49724771408</v>
      </c>
      <c r="J52" s="44">
        <f t="shared" si="7"/>
        <v>263824.49724771408</v>
      </c>
      <c r="K52" s="44">
        <f t="shared" si="8"/>
        <v>263824.49724771408</v>
      </c>
      <c r="L52" s="44">
        <f t="shared" si="9"/>
        <v>263824.49724771408</v>
      </c>
      <c r="M52" s="44">
        <f t="shared" si="10"/>
        <v>263824.4987225915</v>
      </c>
      <c r="N52" s="44">
        <f t="shared" si="11"/>
        <v>263851.48897676397</v>
      </c>
      <c r="O52" s="44">
        <f t="shared" si="12"/>
        <v>263851.48897676397</v>
      </c>
      <c r="P52" s="44">
        <f t="shared" si="13"/>
        <v>263851.48897676397</v>
      </c>
      <c r="Q52" s="44">
        <f t="shared" si="14"/>
        <v>263851.48897676397</v>
      </c>
      <c r="R52" s="44">
        <f t="shared" si="15"/>
        <v>263866.31149339979</v>
      </c>
      <c r="S52" s="44">
        <f t="shared" si="16"/>
        <v>263866.31149339979</v>
      </c>
      <c r="T52" s="44">
        <f t="shared" si="17"/>
        <v>263866.31149339979</v>
      </c>
      <c r="U52" s="44">
        <f t="shared" si="18"/>
        <v>263866.31149339979</v>
      </c>
      <c r="V52" s="44">
        <f t="shared" si="19"/>
        <v>279926.54514017625</v>
      </c>
      <c r="W52" s="44">
        <f t="shared" si="20"/>
        <v>279926.54514017625</v>
      </c>
      <c r="X52" s="44">
        <f t="shared" si="21"/>
        <v>279926.54514017625</v>
      </c>
      <c r="Y52" s="44">
        <f t="shared" si="22"/>
        <v>279926.54514017625</v>
      </c>
      <c r="Z52" s="44">
        <f t="shared" si="23"/>
        <v>279702.21630631562</v>
      </c>
      <c r="AA52" s="44">
        <f t="shared" si="24"/>
        <v>279702.21630631562</v>
      </c>
      <c r="AB52" s="44">
        <f t="shared" si="25"/>
        <v>279702.21630631562</v>
      </c>
      <c r="AC52" s="44">
        <f t="shared" si="26"/>
        <v>279702.21630631562</v>
      </c>
      <c r="AD52" s="44">
        <f t="shared" si="27"/>
        <v>280099.99070797401</v>
      </c>
      <c r="AE52" s="44">
        <f t="shared" si="28"/>
        <v>280099.99070797401</v>
      </c>
      <c r="AF52" s="44">
        <f t="shared" si="29"/>
        <v>280099.99070797401</v>
      </c>
      <c r="AG52" s="44">
        <f t="shared" si="30"/>
        <v>280099.99070797401</v>
      </c>
      <c r="AH52" s="44">
        <f t="shared" si="31"/>
        <v>280184.42743209295</v>
      </c>
      <c r="AI52" s="44">
        <f t="shared" si="32"/>
        <v>280184.42743209295</v>
      </c>
      <c r="AJ52" s="44">
        <f t="shared" si="33"/>
        <v>280184.42743209295</v>
      </c>
      <c r="AK52" s="44">
        <f t="shared" si="34"/>
        <v>280184.42743209295</v>
      </c>
      <c r="AL52" s="44">
        <f t="shared" si="35"/>
        <v>279905.74937056779</v>
      </c>
      <c r="AM52" s="44">
        <f t="shared" si="36"/>
        <v>279905.74937056779</v>
      </c>
      <c r="AN52" s="44">
        <f t="shared" si="37"/>
        <v>279905.74937056779</v>
      </c>
      <c r="AO52" s="44">
        <f t="shared" si="38"/>
        <v>279905.74937056779</v>
      </c>
      <c r="AP52" s="44">
        <f t="shared" si="39"/>
        <v>297147.21222864557</v>
      </c>
      <c r="AQ52" s="44">
        <f t="shared" si="40"/>
        <v>297147.21222864557</v>
      </c>
      <c r="AR52" s="44">
        <f t="shared" si="41"/>
        <v>297147.21222864557</v>
      </c>
      <c r="AS52" s="44">
        <f t="shared" si="42"/>
        <v>297147.21222864557</v>
      </c>
    </row>
    <row r="53" spans="1:45" x14ac:dyDescent="0.2">
      <c r="A53" s="4">
        <v>1982.3</v>
      </c>
      <c r="B53" s="44">
        <f>chainindex!AK53/chainindex!AK54*newbrowser!B54</f>
        <v>263537.4041125775</v>
      </c>
      <c r="C53" s="44">
        <f t="shared" si="0"/>
        <v>263807.36266079365</v>
      </c>
      <c r="D53" s="44">
        <f t="shared" si="1"/>
        <v>263807.36266079365</v>
      </c>
      <c r="E53" s="44">
        <f t="shared" si="2"/>
        <v>263807.36266079365</v>
      </c>
      <c r="F53" s="44">
        <f t="shared" si="3"/>
        <v>263807.36266079365</v>
      </c>
      <c r="G53" s="44">
        <f t="shared" si="4"/>
        <v>263684.00107308774</v>
      </c>
      <c r="H53" s="44">
        <f t="shared" si="5"/>
        <v>263684.00107308774</v>
      </c>
      <c r="I53" s="44">
        <f t="shared" si="6"/>
        <v>263684.00107308774</v>
      </c>
      <c r="J53" s="44">
        <f t="shared" si="7"/>
        <v>263684.00107308774</v>
      </c>
      <c r="K53" s="44">
        <f t="shared" si="8"/>
        <v>263684.00107308774</v>
      </c>
      <c r="L53" s="44">
        <f t="shared" si="9"/>
        <v>263684.00107308774</v>
      </c>
      <c r="M53" s="44">
        <f t="shared" si="10"/>
        <v>263684.0025471797</v>
      </c>
      <c r="N53" s="44">
        <f t="shared" si="11"/>
        <v>263710.9784280567</v>
      </c>
      <c r="O53" s="44">
        <f t="shared" si="12"/>
        <v>263710.9784280567</v>
      </c>
      <c r="P53" s="44">
        <f t="shared" si="13"/>
        <v>263710.9784280567</v>
      </c>
      <c r="Q53" s="44">
        <f t="shared" si="14"/>
        <v>263710.9784280567</v>
      </c>
      <c r="R53" s="44">
        <f t="shared" si="15"/>
        <v>263725.79305116134</v>
      </c>
      <c r="S53" s="44">
        <f t="shared" si="16"/>
        <v>263725.79305116134</v>
      </c>
      <c r="T53" s="44">
        <f t="shared" si="17"/>
        <v>263725.79305116134</v>
      </c>
      <c r="U53" s="44">
        <f t="shared" si="18"/>
        <v>263725.79305116134</v>
      </c>
      <c r="V53" s="44">
        <f t="shared" si="19"/>
        <v>279777.47403730731</v>
      </c>
      <c r="W53" s="44">
        <f t="shared" si="20"/>
        <v>279777.47403730731</v>
      </c>
      <c r="X53" s="44">
        <f t="shared" si="21"/>
        <v>279777.47403730731</v>
      </c>
      <c r="Y53" s="44">
        <f t="shared" si="22"/>
        <v>279777.47403730731</v>
      </c>
      <c r="Z53" s="44">
        <f t="shared" si="23"/>
        <v>279553.26466673892</v>
      </c>
      <c r="AA53" s="44">
        <f t="shared" si="24"/>
        <v>279553.26466673892</v>
      </c>
      <c r="AB53" s="44">
        <f t="shared" si="25"/>
        <v>279553.26466673892</v>
      </c>
      <c r="AC53" s="44">
        <f t="shared" si="26"/>
        <v>279553.26466673892</v>
      </c>
      <c r="AD53" s="44">
        <f t="shared" si="27"/>
        <v>279950.82723900926</v>
      </c>
      <c r="AE53" s="44">
        <f t="shared" si="28"/>
        <v>279950.82723900926</v>
      </c>
      <c r="AF53" s="44">
        <f t="shared" si="29"/>
        <v>279950.82723900926</v>
      </c>
      <c r="AG53" s="44">
        <f t="shared" si="30"/>
        <v>279950.82723900926</v>
      </c>
      <c r="AH53" s="44">
        <f t="shared" si="31"/>
        <v>280035.21899749059</v>
      </c>
      <c r="AI53" s="44">
        <f t="shared" si="32"/>
        <v>280035.21899749059</v>
      </c>
      <c r="AJ53" s="44">
        <f t="shared" si="33"/>
        <v>280035.21899749059</v>
      </c>
      <c r="AK53" s="44">
        <f t="shared" si="34"/>
        <v>280035.21899749059</v>
      </c>
      <c r="AL53" s="44">
        <f t="shared" si="35"/>
        <v>279756.68934220524</v>
      </c>
      <c r="AM53" s="44">
        <f t="shared" si="36"/>
        <v>279756.68934220524</v>
      </c>
      <c r="AN53" s="44">
        <f t="shared" si="37"/>
        <v>279756.68934220524</v>
      </c>
      <c r="AO53" s="44">
        <f t="shared" si="38"/>
        <v>279756.68934220524</v>
      </c>
      <c r="AP53" s="44">
        <f t="shared" si="39"/>
        <v>296988.97049198148</v>
      </c>
      <c r="AQ53" s="44">
        <f t="shared" si="40"/>
        <v>296988.97049198148</v>
      </c>
      <c r="AR53" s="44">
        <f t="shared" si="41"/>
        <v>296988.97049198148</v>
      </c>
      <c r="AS53" s="44">
        <f t="shared" si="42"/>
        <v>296988.97049198148</v>
      </c>
    </row>
    <row r="54" spans="1:45" x14ac:dyDescent="0.2">
      <c r="A54" s="4">
        <v>1982.4</v>
      </c>
      <c r="B54" s="44">
        <f>chainindex!AK54/chainindex!AK55*newbrowser!B55</f>
        <v>262770.30542525701</v>
      </c>
      <c r="C54" s="44">
        <f t="shared" si="0"/>
        <v>263039.47818426555</v>
      </c>
      <c r="D54" s="44">
        <f t="shared" si="1"/>
        <v>263039.47818426555</v>
      </c>
      <c r="E54" s="44">
        <f t="shared" si="2"/>
        <v>263039.47818426555</v>
      </c>
      <c r="F54" s="44">
        <f t="shared" si="3"/>
        <v>263039.47818426555</v>
      </c>
      <c r="G54" s="44">
        <f t="shared" si="4"/>
        <v>262916.47567466588</v>
      </c>
      <c r="H54" s="44">
        <f t="shared" si="5"/>
        <v>262916.47567466588</v>
      </c>
      <c r="I54" s="44">
        <f t="shared" si="6"/>
        <v>262916.47567466588</v>
      </c>
      <c r="J54" s="44">
        <f t="shared" si="7"/>
        <v>262916.47567466588</v>
      </c>
      <c r="K54" s="44">
        <f t="shared" si="8"/>
        <v>262916.47567466588</v>
      </c>
      <c r="L54" s="44">
        <f t="shared" si="9"/>
        <v>262916.47567466588</v>
      </c>
      <c r="M54" s="44">
        <f t="shared" si="10"/>
        <v>262916.47714446706</v>
      </c>
      <c r="N54" s="44">
        <f t="shared" si="11"/>
        <v>262943.37450456299</v>
      </c>
      <c r="O54" s="44">
        <f t="shared" si="12"/>
        <v>262943.37450456299</v>
      </c>
      <c r="P54" s="44">
        <f t="shared" si="13"/>
        <v>262943.37450456299</v>
      </c>
      <c r="Q54" s="44">
        <f t="shared" si="14"/>
        <v>262943.37450456299</v>
      </c>
      <c r="R54" s="44">
        <f t="shared" si="15"/>
        <v>262958.14600559935</v>
      </c>
      <c r="S54" s="44">
        <f t="shared" si="16"/>
        <v>262958.14600559935</v>
      </c>
      <c r="T54" s="44">
        <f t="shared" si="17"/>
        <v>262958.14600559935</v>
      </c>
      <c r="U54" s="44">
        <f t="shared" si="18"/>
        <v>262958.14600559935</v>
      </c>
      <c r="V54" s="44">
        <f t="shared" si="19"/>
        <v>278963.10412348603</v>
      </c>
      <c r="W54" s="44">
        <f t="shared" si="20"/>
        <v>278963.10412348603</v>
      </c>
      <c r="X54" s="44">
        <f t="shared" si="21"/>
        <v>278963.10412348603</v>
      </c>
      <c r="Y54" s="44">
        <f t="shared" si="22"/>
        <v>278963.10412348603</v>
      </c>
      <c r="Z54" s="44">
        <f t="shared" si="23"/>
        <v>278739.54737645859</v>
      </c>
      <c r="AA54" s="44">
        <f t="shared" si="24"/>
        <v>278739.54737645859</v>
      </c>
      <c r="AB54" s="44">
        <f t="shared" si="25"/>
        <v>278739.54737645859</v>
      </c>
      <c r="AC54" s="44">
        <f t="shared" si="26"/>
        <v>278739.54737645859</v>
      </c>
      <c r="AD54" s="44">
        <f t="shared" si="27"/>
        <v>279135.95273262769</v>
      </c>
      <c r="AE54" s="44">
        <f t="shared" si="28"/>
        <v>279135.95273262769</v>
      </c>
      <c r="AF54" s="44">
        <f t="shared" si="29"/>
        <v>279135.95273262769</v>
      </c>
      <c r="AG54" s="44">
        <f t="shared" si="30"/>
        <v>279135.95273262769</v>
      </c>
      <c r="AH54" s="44">
        <f t="shared" si="31"/>
        <v>279220.09884549613</v>
      </c>
      <c r="AI54" s="44">
        <f t="shared" si="32"/>
        <v>279220.09884549613</v>
      </c>
      <c r="AJ54" s="44">
        <f t="shared" si="33"/>
        <v>279220.09884549613</v>
      </c>
      <c r="AK54" s="44">
        <f t="shared" si="34"/>
        <v>279220.09884549613</v>
      </c>
      <c r="AL54" s="44">
        <f t="shared" si="35"/>
        <v>278942.37992800213</v>
      </c>
      <c r="AM54" s="44">
        <f t="shared" si="36"/>
        <v>278942.37992800213</v>
      </c>
      <c r="AN54" s="44">
        <f t="shared" si="37"/>
        <v>278942.37992800213</v>
      </c>
      <c r="AO54" s="44">
        <f t="shared" si="38"/>
        <v>278942.37992800213</v>
      </c>
      <c r="AP54" s="44">
        <f t="shared" si="39"/>
        <v>296124.50174539047</v>
      </c>
      <c r="AQ54" s="44">
        <f t="shared" si="40"/>
        <v>296124.50174539047</v>
      </c>
      <c r="AR54" s="44">
        <f t="shared" si="41"/>
        <v>296124.50174539047</v>
      </c>
      <c r="AS54" s="44">
        <f t="shared" si="42"/>
        <v>296124.50174539047</v>
      </c>
    </row>
    <row r="55" spans="1:45" x14ac:dyDescent="0.2">
      <c r="A55" s="4">
        <v>1983.1</v>
      </c>
      <c r="B55" s="44">
        <f>chainindex!AK55/chainindex!AK56*newbrowser!B56</f>
        <v>263506.20009817794</v>
      </c>
      <c r="C55" s="44">
        <f t="shared" si="0"/>
        <v>263776.12668208737</v>
      </c>
      <c r="D55" s="44">
        <f t="shared" si="1"/>
        <v>263776.12668208737</v>
      </c>
      <c r="E55" s="44">
        <f t="shared" si="2"/>
        <v>263776.12668208737</v>
      </c>
      <c r="F55" s="44">
        <f t="shared" si="3"/>
        <v>263776.12668208737</v>
      </c>
      <c r="G55" s="44">
        <f t="shared" si="4"/>
        <v>263652.77970094845</v>
      </c>
      <c r="H55" s="44">
        <f t="shared" si="5"/>
        <v>263652.77970094845</v>
      </c>
      <c r="I55" s="44">
        <f t="shared" si="6"/>
        <v>263652.77970094845</v>
      </c>
      <c r="J55" s="44">
        <f t="shared" si="7"/>
        <v>263652.77970094845</v>
      </c>
      <c r="K55" s="44">
        <f t="shared" si="8"/>
        <v>263652.77970094845</v>
      </c>
      <c r="L55" s="44">
        <f t="shared" si="9"/>
        <v>263652.77970094845</v>
      </c>
      <c r="M55" s="44">
        <f t="shared" si="10"/>
        <v>263652.78117486584</v>
      </c>
      <c r="N55" s="44">
        <f t="shared" si="11"/>
        <v>263679.75386167713</v>
      </c>
      <c r="O55" s="44">
        <f t="shared" si="12"/>
        <v>263679.75386167713</v>
      </c>
      <c r="P55" s="44">
        <f t="shared" si="13"/>
        <v>263679.75386167713</v>
      </c>
      <c r="Q55" s="44">
        <f t="shared" si="14"/>
        <v>263679.75386167713</v>
      </c>
      <c r="R55" s="44">
        <f t="shared" si="15"/>
        <v>263694.56673066376</v>
      </c>
      <c r="S55" s="44">
        <f t="shared" si="16"/>
        <v>263694.56673066376</v>
      </c>
      <c r="T55" s="44">
        <f t="shared" si="17"/>
        <v>263694.56673066376</v>
      </c>
      <c r="U55" s="44">
        <f t="shared" si="18"/>
        <v>263694.56673066376</v>
      </c>
      <c r="V55" s="44">
        <f t="shared" si="19"/>
        <v>279744.34712555853</v>
      </c>
      <c r="W55" s="44">
        <f t="shared" si="20"/>
        <v>279744.34712555853</v>
      </c>
      <c r="X55" s="44">
        <f t="shared" si="21"/>
        <v>279744.34712555853</v>
      </c>
      <c r="Y55" s="44">
        <f t="shared" si="22"/>
        <v>279744.34712555853</v>
      </c>
      <c r="Z55" s="44">
        <f t="shared" si="23"/>
        <v>279520.16430238838</v>
      </c>
      <c r="AA55" s="44">
        <f t="shared" si="24"/>
        <v>279520.16430238838</v>
      </c>
      <c r="AB55" s="44">
        <f t="shared" si="25"/>
        <v>279520.16430238838</v>
      </c>
      <c r="AC55" s="44">
        <f t="shared" si="26"/>
        <v>279520.16430238838</v>
      </c>
      <c r="AD55" s="44">
        <f t="shared" si="27"/>
        <v>279917.67980146135</v>
      </c>
      <c r="AE55" s="44">
        <f t="shared" si="28"/>
        <v>279917.67980146135</v>
      </c>
      <c r="AF55" s="44">
        <f t="shared" si="29"/>
        <v>279917.67980146135</v>
      </c>
      <c r="AG55" s="44">
        <f t="shared" si="30"/>
        <v>279917.67980146135</v>
      </c>
      <c r="AH55" s="44">
        <f t="shared" si="31"/>
        <v>280002.06156757876</v>
      </c>
      <c r="AI55" s="44">
        <f t="shared" si="32"/>
        <v>280002.06156757876</v>
      </c>
      <c r="AJ55" s="44">
        <f t="shared" si="33"/>
        <v>280002.06156757876</v>
      </c>
      <c r="AK55" s="44">
        <f t="shared" si="34"/>
        <v>280002.06156757876</v>
      </c>
      <c r="AL55" s="44">
        <f t="shared" si="35"/>
        <v>279723.56489145779</v>
      </c>
      <c r="AM55" s="44">
        <f t="shared" si="36"/>
        <v>279723.56489145779</v>
      </c>
      <c r="AN55" s="44">
        <f t="shared" si="37"/>
        <v>279723.56489145779</v>
      </c>
      <c r="AO55" s="44">
        <f t="shared" si="38"/>
        <v>279723.56489145779</v>
      </c>
      <c r="AP55" s="44">
        <f t="shared" si="39"/>
        <v>296953.80566161149</v>
      </c>
      <c r="AQ55" s="44">
        <f t="shared" si="40"/>
        <v>296953.80566161149</v>
      </c>
      <c r="AR55" s="44">
        <f t="shared" si="41"/>
        <v>296953.80566161149</v>
      </c>
      <c r="AS55" s="44">
        <f t="shared" si="42"/>
        <v>296953.80566161149</v>
      </c>
    </row>
    <row r="56" spans="1:45" x14ac:dyDescent="0.2">
      <c r="A56" s="4">
        <v>1983.2</v>
      </c>
      <c r="B56" s="44">
        <f>chainindex!AK56/chainindex!AK57*newbrowser!B57</f>
        <v>263188.95928511664</v>
      </c>
      <c r="C56" s="44">
        <f t="shared" si="0"/>
        <v>263458.56089857407</v>
      </c>
      <c r="D56" s="44">
        <f t="shared" si="1"/>
        <v>263458.56089857407</v>
      </c>
      <c r="E56" s="44">
        <f t="shared" si="2"/>
        <v>263458.56089857407</v>
      </c>
      <c r="F56" s="44">
        <f t="shared" si="3"/>
        <v>263458.56089857407</v>
      </c>
      <c r="G56" s="44">
        <f t="shared" si="4"/>
        <v>263335.36241753335</v>
      </c>
      <c r="H56" s="44">
        <f t="shared" si="5"/>
        <v>263335.36241753335</v>
      </c>
      <c r="I56" s="44">
        <f t="shared" si="6"/>
        <v>263335.36241753335</v>
      </c>
      <c r="J56" s="44">
        <f t="shared" si="7"/>
        <v>263335.36241753335</v>
      </c>
      <c r="K56" s="44">
        <f t="shared" si="8"/>
        <v>263335.36241753335</v>
      </c>
      <c r="L56" s="44">
        <f t="shared" si="9"/>
        <v>263335.36241753335</v>
      </c>
      <c r="M56" s="44">
        <f t="shared" si="10"/>
        <v>263335.36388967623</v>
      </c>
      <c r="N56" s="44">
        <f t="shared" si="11"/>
        <v>263362.30410348653</v>
      </c>
      <c r="O56" s="44">
        <f t="shared" si="12"/>
        <v>263362.30410348653</v>
      </c>
      <c r="P56" s="44">
        <f t="shared" si="13"/>
        <v>263362.30410348653</v>
      </c>
      <c r="Q56" s="44">
        <f t="shared" si="14"/>
        <v>263362.30410348653</v>
      </c>
      <c r="R56" s="44">
        <f t="shared" si="15"/>
        <v>263377.09913893987</v>
      </c>
      <c r="S56" s="44">
        <f t="shared" si="16"/>
        <v>263377.09913893987</v>
      </c>
      <c r="T56" s="44">
        <f t="shared" si="17"/>
        <v>263377.09913893987</v>
      </c>
      <c r="U56" s="44">
        <f t="shared" si="18"/>
        <v>263377.09913893987</v>
      </c>
      <c r="V56" s="44">
        <f t="shared" si="19"/>
        <v>279407.55685611384</v>
      </c>
      <c r="W56" s="44">
        <f t="shared" si="20"/>
        <v>279407.55685611384</v>
      </c>
      <c r="X56" s="44">
        <f t="shared" si="21"/>
        <v>279407.55685611384</v>
      </c>
      <c r="Y56" s="44">
        <f t="shared" si="22"/>
        <v>279407.55685611384</v>
      </c>
      <c r="Z56" s="44">
        <f t="shared" si="23"/>
        <v>279183.64393149281</v>
      </c>
      <c r="AA56" s="44">
        <f t="shared" si="24"/>
        <v>279183.64393149281</v>
      </c>
      <c r="AB56" s="44">
        <f t="shared" si="25"/>
        <v>279183.64393149281</v>
      </c>
      <c r="AC56" s="44">
        <f t="shared" si="26"/>
        <v>279183.64393149281</v>
      </c>
      <c r="AD56" s="44">
        <f t="shared" si="27"/>
        <v>279580.68085305952</v>
      </c>
      <c r="AE56" s="44">
        <f t="shared" si="28"/>
        <v>279580.68085305952</v>
      </c>
      <c r="AF56" s="44">
        <f t="shared" si="29"/>
        <v>279580.68085305952</v>
      </c>
      <c r="AG56" s="44">
        <f t="shared" si="30"/>
        <v>279580.68085305952</v>
      </c>
      <c r="AH56" s="44">
        <f t="shared" si="31"/>
        <v>279664.96103014378</v>
      </c>
      <c r="AI56" s="44">
        <f t="shared" si="32"/>
        <v>279664.96103014378</v>
      </c>
      <c r="AJ56" s="44">
        <f t="shared" si="33"/>
        <v>279664.96103014378</v>
      </c>
      <c r="AK56" s="44">
        <f t="shared" si="34"/>
        <v>279664.96103014378</v>
      </c>
      <c r="AL56" s="44">
        <f t="shared" si="35"/>
        <v>279386.79964219418</v>
      </c>
      <c r="AM56" s="44">
        <f t="shared" si="36"/>
        <v>279386.79964219418</v>
      </c>
      <c r="AN56" s="44">
        <f t="shared" si="37"/>
        <v>279386.79964219418</v>
      </c>
      <c r="AO56" s="44">
        <f t="shared" si="38"/>
        <v>279386.79964219418</v>
      </c>
      <c r="AP56" s="44">
        <f t="shared" si="39"/>
        <v>296596.29655285185</v>
      </c>
      <c r="AQ56" s="44">
        <f t="shared" si="40"/>
        <v>296596.29655285185</v>
      </c>
      <c r="AR56" s="44">
        <f t="shared" si="41"/>
        <v>296596.29655285185</v>
      </c>
      <c r="AS56" s="44">
        <f t="shared" si="42"/>
        <v>296596.29655285185</v>
      </c>
    </row>
    <row r="57" spans="1:45" x14ac:dyDescent="0.2">
      <c r="A57" s="4">
        <v>1983.3</v>
      </c>
      <c r="B57" s="44">
        <f>chainindex!AK57/chainindex!AK58*newbrowser!B58</f>
        <v>268089.28971310111</v>
      </c>
      <c r="C57" s="44">
        <f t="shared" si="0"/>
        <v>268363.91105456481</v>
      </c>
      <c r="D57" s="44">
        <f t="shared" si="1"/>
        <v>268363.91105456481</v>
      </c>
      <c r="E57" s="44">
        <f t="shared" si="2"/>
        <v>268363.91105456481</v>
      </c>
      <c r="F57" s="44">
        <f t="shared" si="3"/>
        <v>268363.91105456481</v>
      </c>
      <c r="G57" s="44">
        <f t="shared" si="4"/>
        <v>268238.41873389279</v>
      </c>
      <c r="H57" s="44">
        <f t="shared" si="5"/>
        <v>268238.41873389279</v>
      </c>
      <c r="I57" s="44">
        <f t="shared" si="6"/>
        <v>268238.41873389279</v>
      </c>
      <c r="J57" s="44">
        <f t="shared" si="7"/>
        <v>268238.41873389279</v>
      </c>
      <c r="K57" s="44">
        <f t="shared" si="8"/>
        <v>268238.41873389279</v>
      </c>
      <c r="L57" s="44">
        <f t="shared" si="9"/>
        <v>268238.41873389279</v>
      </c>
      <c r="M57" s="44">
        <f t="shared" si="10"/>
        <v>268238.42023344559</v>
      </c>
      <c r="N57" s="44">
        <f t="shared" si="11"/>
        <v>268265.8620486522</v>
      </c>
      <c r="O57" s="44">
        <f t="shared" si="12"/>
        <v>268265.8620486522</v>
      </c>
      <c r="P57" s="44">
        <f t="shared" si="13"/>
        <v>268265.8620486522</v>
      </c>
      <c r="Q57" s="44">
        <f t="shared" si="14"/>
        <v>268265.8620486522</v>
      </c>
      <c r="R57" s="44">
        <f t="shared" si="15"/>
        <v>268280.93255372485</v>
      </c>
      <c r="S57" s="44">
        <f t="shared" si="16"/>
        <v>268280.93255372485</v>
      </c>
      <c r="T57" s="44">
        <f t="shared" si="17"/>
        <v>268280.93255372485</v>
      </c>
      <c r="U57" s="44">
        <f t="shared" si="18"/>
        <v>268280.93255372485</v>
      </c>
      <c r="V57" s="44">
        <f t="shared" si="19"/>
        <v>284609.86228864366</v>
      </c>
      <c r="W57" s="44">
        <f t="shared" si="20"/>
        <v>284609.86228864366</v>
      </c>
      <c r="X57" s="44">
        <f t="shared" si="21"/>
        <v>284609.86228864366</v>
      </c>
      <c r="Y57" s="44">
        <f t="shared" si="22"/>
        <v>284609.86228864366</v>
      </c>
      <c r="Z57" s="44">
        <f t="shared" si="23"/>
        <v>284381.78031635168</v>
      </c>
      <c r="AA57" s="44">
        <f t="shared" si="24"/>
        <v>284381.78031635168</v>
      </c>
      <c r="AB57" s="44">
        <f t="shared" si="25"/>
        <v>284381.78031635168</v>
      </c>
      <c r="AC57" s="44">
        <f t="shared" si="26"/>
        <v>284381.78031635168</v>
      </c>
      <c r="AD57" s="44">
        <f t="shared" si="27"/>
        <v>284786.2096912837</v>
      </c>
      <c r="AE57" s="44">
        <f t="shared" si="28"/>
        <v>284786.2096912837</v>
      </c>
      <c r="AF57" s="44">
        <f t="shared" si="29"/>
        <v>284786.2096912837</v>
      </c>
      <c r="AG57" s="44">
        <f t="shared" si="30"/>
        <v>284786.2096912837</v>
      </c>
      <c r="AH57" s="44">
        <f t="shared" si="31"/>
        <v>284872.05908585095</v>
      </c>
      <c r="AI57" s="44">
        <f t="shared" si="32"/>
        <v>284872.05908585095</v>
      </c>
      <c r="AJ57" s="44">
        <f t="shared" si="33"/>
        <v>284872.05908585095</v>
      </c>
      <c r="AK57" s="44">
        <f t="shared" si="34"/>
        <v>284872.05908585095</v>
      </c>
      <c r="AL57" s="44">
        <f t="shared" si="35"/>
        <v>284588.71859495965</v>
      </c>
      <c r="AM57" s="44">
        <f t="shared" si="36"/>
        <v>284588.71859495965</v>
      </c>
      <c r="AN57" s="44">
        <f t="shared" si="37"/>
        <v>284588.71859495965</v>
      </c>
      <c r="AO57" s="44">
        <f t="shared" si="38"/>
        <v>284588.71859495965</v>
      </c>
      <c r="AP57" s="44">
        <f t="shared" si="39"/>
        <v>302118.64012217673</v>
      </c>
      <c r="AQ57" s="44">
        <f t="shared" si="40"/>
        <v>302118.64012217673</v>
      </c>
      <c r="AR57" s="44">
        <f t="shared" si="41"/>
        <v>302118.64012217673</v>
      </c>
      <c r="AS57" s="44">
        <f t="shared" si="42"/>
        <v>302118.64012217673</v>
      </c>
    </row>
    <row r="58" spans="1:45" x14ac:dyDescent="0.2">
      <c r="A58" s="4">
        <v>1983.4</v>
      </c>
      <c r="B58" s="44">
        <f>chainindex!AK58/chainindex!AK59*newbrowser!B59</f>
        <v>274032.35428893473</v>
      </c>
      <c r="C58" s="44">
        <f t="shared" si="0"/>
        <v>274313.06349898869</v>
      </c>
      <c r="D58" s="44">
        <f t="shared" si="1"/>
        <v>274313.06349898869</v>
      </c>
      <c r="E58" s="44">
        <f t="shared" si="2"/>
        <v>274313.06349898869</v>
      </c>
      <c r="F58" s="44">
        <f t="shared" si="3"/>
        <v>274313.06349898869</v>
      </c>
      <c r="G58" s="44">
        <f t="shared" si="4"/>
        <v>274184.78923590365</v>
      </c>
      <c r="H58" s="44">
        <f t="shared" si="5"/>
        <v>274184.78923590365</v>
      </c>
      <c r="I58" s="44">
        <f t="shared" si="6"/>
        <v>274184.78923590365</v>
      </c>
      <c r="J58" s="44">
        <f t="shared" si="7"/>
        <v>274184.78923590365</v>
      </c>
      <c r="K58" s="44">
        <f t="shared" si="8"/>
        <v>274184.78923590365</v>
      </c>
      <c r="L58" s="44">
        <f t="shared" si="9"/>
        <v>274184.78923590365</v>
      </c>
      <c r="M58" s="44">
        <f t="shared" si="10"/>
        <v>274184.79076869885</v>
      </c>
      <c r="N58" s="44">
        <f t="shared" si="11"/>
        <v>274212.84092032956</v>
      </c>
      <c r="O58" s="44">
        <f t="shared" si="12"/>
        <v>274212.84092032956</v>
      </c>
      <c r="P58" s="44">
        <f t="shared" si="13"/>
        <v>274212.84092032956</v>
      </c>
      <c r="Q58" s="44">
        <f t="shared" si="14"/>
        <v>274212.84092032956</v>
      </c>
      <c r="R58" s="44">
        <f t="shared" si="15"/>
        <v>274228.24551179906</v>
      </c>
      <c r="S58" s="44">
        <f t="shared" si="16"/>
        <v>274228.24551179906</v>
      </c>
      <c r="T58" s="44">
        <f t="shared" si="17"/>
        <v>274228.24551179906</v>
      </c>
      <c r="U58" s="44">
        <f t="shared" si="18"/>
        <v>274228.24551179906</v>
      </c>
      <c r="V58" s="44">
        <f t="shared" si="19"/>
        <v>290919.15868877451</v>
      </c>
      <c r="W58" s="44">
        <f t="shared" si="20"/>
        <v>290919.15868877451</v>
      </c>
      <c r="X58" s="44">
        <f t="shared" si="21"/>
        <v>290919.15868877451</v>
      </c>
      <c r="Y58" s="44">
        <f t="shared" si="22"/>
        <v>290919.15868877451</v>
      </c>
      <c r="Z58" s="44">
        <f t="shared" si="23"/>
        <v>290686.02054325247</v>
      </c>
      <c r="AA58" s="44">
        <f t="shared" si="24"/>
        <v>290686.02054325247</v>
      </c>
      <c r="AB58" s="44">
        <f t="shared" si="25"/>
        <v>290686.02054325247</v>
      </c>
      <c r="AC58" s="44">
        <f t="shared" si="26"/>
        <v>290686.02054325247</v>
      </c>
      <c r="AD58" s="44">
        <f t="shared" si="27"/>
        <v>291099.41540089424</v>
      </c>
      <c r="AE58" s="44">
        <f t="shared" si="28"/>
        <v>291099.41540089424</v>
      </c>
      <c r="AF58" s="44">
        <f t="shared" si="29"/>
        <v>291099.41540089424</v>
      </c>
      <c r="AG58" s="44">
        <f t="shared" si="30"/>
        <v>291099.41540089424</v>
      </c>
      <c r="AH58" s="44">
        <f t="shared" si="31"/>
        <v>291187.1679244386</v>
      </c>
      <c r="AI58" s="44">
        <f t="shared" si="32"/>
        <v>291187.1679244386</v>
      </c>
      <c r="AJ58" s="44">
        <f t="shared" si="33"/>
        <v>291187.1679244386</v>
      </c>
      <c r="AK58" s="44">
        <f t="shared" si="34"/>
        <v>291187.1679244386</v>
      </c>
      <c r="AL58" s="44">
        <f t="shared" si="35"/>
        <v>290897.54627686209</v>
      </c>
      <c r="AM58" s="44">
        <f t="shared" si="36"/>
        <v>290897.54627686209</v>
      </c>
      <c r="AN58" s="44">
        <f t="shared" si="37"/>
        <v>290897.54627686209</v>
      </c>
      <c r="AO58" s="44">
        <f t="shared" si="38"/>
        <v>290897.54627686209</v>
      </c>
      <c r="AP58" s="44">
        <f t="shared" si="39"/>
        <v>308816.07510635909</v>
      </c>
      <c r="AQ58" s="44">
        <f t="shared" si="40"/>
        <v>308816.07510635909</v>
      </c>
      <c r="AR58" s="44">
        <f t="shared" si="41"/>
        <v>308816.07510635909</v>
      </c>
      <c r="AS58" s="44">
        <f t="shared" si="42"/>
        <v>308816.07510635909</v>
      </c>
    </row>
    <row r="59" spans="1:45" x14ac:dyDescent="0.2">
      <c r="A59" s="4">
        <v>1984.1</v>
      </c>
      <c r="B59" s="44">
        <f>chainindex!AK59/chainindex!AK60*newbrowser!B60</f>
        <v>273495.38520781038</v>
      </c>
      <c r="C59" s="44">
        <f t="shared" si="0"/>
        <v>273775.54436541896</v>
      </c>
      <c r="D59" s="44">
        <f t="shared" si="1"/>
        <v>273775.54436541896</v>
      </c>
      <c r="E59" s="44">
        <f t="shared" si="2"/>
        <v>273775.54436541896</v>
      </c>
      <c r="F59" s="44">
        <f t="shared" si="3"/>
        <v>273775.54436541896</v>
      </c>
      <c r="G59" s="44">
        <f t="shared" si="4"/>
        <v>273647.52145700832</v>
      </c>
      <c r="H59" s="44">
        <f t="shared" si="5"/>
        <v>273647.52145700832</v>
      </c>
      <c r="I59" s="44">
        <f t="shared" si="6"/>
        <v>273647.52145700832</v>
      </c>
      <c r="J59" s="44">
        <f t="shared" si="7"/>
        <v>273647.52145700832</v>
      </c>
      <c r="K59" s="44">
        <f t="shared" si="8"/>
        <v>273647.52145700832</v>
      </c>
      <c r="L59" s="44">
        <f t="shared" si="9"/>
        <v>273647.52145700832</v>
      </c>
      <c r="M59" s="44">
        <f t="shared" si="10"/>
        <v>273647.5229868</v>
      </c>
      <c r="N59" s="44">
        <f t="shared" si="11"/>
        <v>273675.51817388396</v>
      </c>
      <c r="O59" s="44">
        <f t="shared" si="12"/>
        <v>273675.51817388396</v>
      </c>
      <c r="P59" s="44">
        <f t="shared" si="13"/>
        <v>273675.51817388396</v>
      </c>
      <c r="Q59" s="44">
        <f t="shared" si="14"/>
        <v>273675.51817388396</v>
      </c>
      <c r="R59" s="44">
        <f t="shared" si="15"/>
        <v>273690.89257990563</v>
      </c>
      <c r="S59" s="44">
        <f t="shared" si="16"/>
        <v>273690.89257990563</v>
      </c>
      <c r="T59" s="44">
        <f t="shared" si="17"/>
        <v>273690.89257990563</v>
      </c>
      <c r="U59" s="44">
        <f t="shared" si="18"/>
        <v>273690.89257990563</v>
      </c>
      <c r="V59" s="44">
        <f t="shared" si="19"/>
        <v>290349.09974909958</v>
      </c>
      <c r="W59" s="44">
        <f t="shared" si="20"/>
        <v>290349.09974909958</v>
      </c>
      <c r="X59" s="44">
        <f t="shared" si="21"/>
        <v>290349.09974909958</v>
      </c>
      <c r="Y59" s="44">
        <f t="shared" si="22"/>
        <v>290349.09974909958</v>
      </c>
      <c r="Z59" s="44">
        <f t="shared" si="23"/>
        <v>290116.41844005621</v>
      </c>
      <c r="AA59" s="44">
        <f t="shared" si="24"/>
        <v>290116.41844005621</v>
      </c>
      <c r="AB59" s="44">
        <f t="shared" si="25"/>
        <v>290116.41844005621</v>
      </c>
      <c r="AC59" s="44">
        <f t="shared" si="26"/>
        <v>290116.41844005621</v>
      </c>
      <c r="AD59" s="44">
        <f t="shared" si="27"/>
        <v>290529.00324642711</v>
      </c>
      <c r="AE59" s="44">
        <f t="shared" si="28"/>
        <v>290529.00324642711</v>
      </c>
      <c r="AF59" s="44">
        <f t="shared" si="29"/>
        <v>290529.00324642711</v>
      </c>
      <c r="AG59" s="44">
        <f t="shared" si="30"/>
        <v>290529.00324642711</v>
      </c>
      <c r="AH59" s="44">
        <f t="shared" si="31"/>
        <v>290616.58381804248</v>
      </c>
      <c r="AI59" s="44">
        <f t="shared" si="32"/>
        <v>290616.58381804248</v>
      </c>
      <c r="AJ59" s="44">
        <f t="shared" si="33"/>
        <v>290616.58381804248</v>
      </c>
      <c r="AK59" s="44">
        <f t="shared" si="34"/>
        <v>290616.58381804248</v>
      </c>
      <c r="AL59" s="44">
        <f t="shared" si="35"/>
        <v>290327.52968691988</v>
      </c>
      <c r="AM59" s="44">
        <f t="shared" si="36"/>
        <v>290327.52968691988</v>
      </c>
      <c r="AN59" s="44">
        <f t="shared" si="37"/>
        <v>290327.52968691988</v>
      </c>
      <c r="AO59" s="44">
        <f t="shared" si="38"/>
        <v>290327.52968691988</v>
      </c>
      <c r="AP59" s="44">
        <f t="shared" si="39"/>
        <v>308210.94698374532</v>
      </c>
      <c r="AQ59" s="44">
        <f t="shared" si="40"/>
        <v>308210.94698374532</v>
      </c>
      <c r="AR59" s="44">
        <f t="shared" si="41"/>
        <v>308210.94698374532</v>
      </c>
      <c r="AS59" s="44">
        <f t="shared" si="42"/>
        <v>308210.94698374532</v>
      </c>
    </row>
    <row r="60" spans="1:45" x14ac:dyDescent="0.2">
      <c r="A60" s="4">
        <v>1984.2</v>
      </c>
      <c r="B60" s="44">
        <f>chainindex!AK60/chainindex!AK61*newbrowser!B61</f>
        <v>274375.59844732896</v>
      </c>
      <c r="C60" s="44">
        <f t="shared" si="0"/>
        <v>274656.65926475718</v>
      </c>
      <c r="D60" s="44">
        <f t="shared" si="1"/>
        <v>274656.65926475718</v>
      </c>
      <c r="E60" s="44">
        <f t="shared" si="2"/>
        <v>274656.65926475718</v>
      </c>
      <c r="F60" s="44">
        <f t="shared" si="3"/>
        <v>274656.65926475718</v>
      </c>
      <c r="G60" s="44">
        <f t="shared" si="4"/>
        <v>274528.2243294348</v>
      </c>
      <c r="H60" s="44">
        <f t="shared" si="5"/>
        <v>274528.2243294348</v>
      </c>
      <c r="I60" s="44">
        <f t="shared" si="6"/>
        <v>274528.2243294348</v>
      </c>
      <c r="J60" s="44">
        <f t="shared" si="7"/>
        <v>274528.2243294348</v>
      </c>
      <c r="K60" s="44">
        <f t="shared" si="8"/>
        <v>274528.2243294348</v>
      </c>
      <c r="L60" s="44">
        <f t="shared" si="9"/>
        <v>274528.2243294348</v>
      </c>
      <c r="M60" s="44">
        <f t="shared" si="10"/>
        <v>274528.22586414992</v>
      </c>
      <c r="N60" s="44">
        <f t="shared" si="11"/>
        <v>274556.311150503</v>
      </c>
      <c r="O60" s="44">
        <f t="shared" si="12"/>
        <v>274556.311150503</v>
      </c>
      <c r="P60" s="44">
        <f t="shared" si="13"/>
        <v>274556.311150503</v>
      </c>
      <c r="Q60" s="44">
        <f t="shared" si="14"/>
        <v>274556.311150503</v>
      </c>
      <c r="R60" s="44">
        <f t="shared" si="15"/>
        <v>274571.73503727082</v>
      </c>
      <c r="S60" s="44">
        <f t="shared" si="16"/>
        <v>274571.73503727082</v>
      </c>
      <c r="T60" s="44">
        <f t="shared" si="17"/>
        <v>274571.73503727082</v>
      </c>
      <c r="U60" s="44">
        <f t="shared" si="18"/>
        <v>274571.73503727082</v>
      </c>
      <c r="V60" s="44">
        <f t="shared" si="19"/>
        <v>291283.55471800978</v>
      </c>
      <c r="W60" s="44">
        <f t="shared" si="20"/>
        <v>291283.55471800978</v>
      </c>
      <c r="X60" s="44">
        <f t="shared" si="21"/>
        <v>291283.55471800978</v>
      </c>
      <c r="Y60" s="44">
        <f t="shared" si="22"/>
        <v>291283.55471800978</v>
      </c>
      <c r="Z60" s="44">
        <f t="shared" si="23"/>
        <v>291050.12455110671</v>
      </c>
      <c r="AA60" s="44">
        <f t="shared" si="24"/>
        <v>291050.12455110671</v>
      </c>
      <c r="AB60" s="44">
        <f t="shared" si="25"/>
        <v>291050.12455110671</v>
      </c>
      <c r="AC60" s="44">
        <f t="shared" si="26"/>
        <v>291050.12455110671</v>
      </c>
      <c r="AD60" s="44">
        <f t="shared" si="27"/>
        <v>291464.03721391916</v>
      </c>
      <c r="AE60" s="44">
        <f t="shared" si="28"/>
        <v>291464.03721391916</v>
      </c>
      <c r="AF60" s="44">
        <f t="shared" si="29"/>
        <v>291464.03721391916</v>
      </c>
      <c r="AG60" s="44">
        <f t="shared" si="30"/>
        <v>291464.03721391916</v>
      </c>
      <c r="AH60" s="44">
        <f t="shared" si="31"/>
        <v>291551.89965346659</v>
      </c>
      <c r="AI60" s="44">
        <f t="shared" si="32"/>
        <v>291551.89965346659</v>
      </c>
      <c r="AJ60" s="44">
        <f t="shared" si="33"/>
        <v>291551.89965346659</v>
      </c>
      <c r="AK60" s="44">
        <f t="shared" si="34"/>
        <v>291551.89965346659</v>
      </c>
      <c r="AL60" s="44">
        <f t="shared" si="35"/>
        <v>291261.91523508175</v>
      </c>
      <c r="AM60" s="44">
        <f t="shared" si="36"/>
        <v>291261.91523508175</v>
      </c>
      <c r="AN60" s="44">
        <f t="shared" si="37"/>
        <v>291261.91523508175</v>
      </c>
      <c r="AO60" s="44">
        <f t="shared" si="38"/>
        <v>291261.91523508175</v>
      </c>
      <c r="AP60" s="44">
        <f t="shared" si="39"/>
        <v>309202.8882404269</v>
      </c>
      <c r="AQ60" s="44">
        <f t="shared" si="40"/>
        <v>309202.8882404269</v>
      </c>
      <c r="AR60" s="44">
        <f t="shared" si="41"/>
        <v>309202.8882404269</v>
      </c>
      <c r="AS60" s="44">
        <f t="shared" si="42"/>
        <v>309202.8882404269</v>
      </c>
    </row>
    <row r="61" spans="1:45" x14ac:dyDescent="0.2">
      <c r="A61" s="4">
        <v>1984.3</v>
      </c>
      <c r="B61" s="44">
        <f>chainindex!AK61/chainindex!AK62*newbrowser!B62</f>
        <v>277606.51410494145</v>
      </c>
      <c r="C61" s="44">
        <f t="shared" si="0"/>
        <v>277890.8845599647</v>
      </c>
      <c r="D61" s="44">
        <f t="shared" si="1"/>
        <v>277890.8845599647</v>
      </c>
      <c r="E61" s="44">
        <f t="shared" si="2"/>
        <v>277890.8845599647</v>
      </c>
      <c r="F61" s="44">
        <f t="shared" si="3"/>
        <v>277890.8845599647</v>
      </c>
      <c r="G61" s="44">
        <f t="shared" si="4"/>
        <v>277760.93723634735</v>
      </c>
      <c r="H61" s="44">
        <f t="shared" si="5"/>
        <v>277760.93723634735</v>
      </c>
      <c r="I61" s="44">
        <f t="shared" si="6"/>
        <v>277760.93723634735</v>
      </c>
      <c r="J61" s="44">
        <f t="shared" si="7"/>
        <v>277760.93723634735</v>
      </c>
      <c r="K61" s="44">
        <f t="shared" si="8"/>
        <v>277760.93723634735</v>
      </c>
      <c r="L61" s="44">
        <f t="shared" si="9"/>
        <v>277760.93723634735</v>
      </c>
      <c r="M61" s="44">
        <f t="shared" si="10"/>
        <v>277760.93878913455</v>
      </c>
      <c r="N61" s="44">
        <f t="shared" si="11"/>
        <v>277789.35479437059</v>
      </c>
      <c r="O61" s="44">
        <f t="shared" si="12"/>
        <v>277789.35479437059</v>
      </c>
      <c r="P61" s="44">
        <f t="shared" si="13"/>
        <v>277789.35479437059</v>
      </c>
      <c r="Q61" s="44">
        <f t="shared" si="14"/>
        <v>277789.35479437059</v>
      </c>
      <c r="R61" s="44">
        <f t="shared" si="15"/>
        <v>277804.96030544298</v>
      </c>
      <c r="S61" s="44">
        <f t="shared" si="16"/>
        <v>277804.96030544298</v>
      </c>
      <c r="T61" s="44">
        <f t="shared" si="17"/>
        <v>277804.96030544298</v>
      </c>
      <c r="U61" s="44">
        <f t="shared" si="18"/>
        <v>277804.96030544298</v>
      </c>
      <c r="V61" s="44">
        <f t="shared" si="19"/>
        <v>294713.57037198608</v>
      </c>
      <c r="W61" s="44">
        <f t="shared" si="20"/>
        <v>294713.57037198608</v>
      </c>
      <c r="X61" s="44">
        <f t="shared" si="21"/>
        <v>294713.57037198608</v>
      </c>
      <c r="Y61" s="44">
        <f t="shared" si="22"/>
        <v>294713.57037198608</v>
      </c>
      <c r="Z61" s="44">
        <f t="shared" si="23"/>
        <v>294477.39144321979</v>
      </c>
      <c r="AA61" s="44">
        <f t="shared" si="24"/>
        <v>294477.39144321979</v>
      </c>
      <c r="AB61" s="44">
        <f t="shared" si="25"/>
        <v>294477.39144321979</v>
      </c>
      <c r="AC61" s="44">
        <f t="shared" si="26"/>
        <v>294477.39144321979</v>
      </c>
      <c r="AD61" s="44">
        <f t="shared" si="27"/>
        <v>294896.17814333999</v>
      </c>
      <c r="AE61" s="44">
        <f t="shared" si="28"/>
        <v>294896.17814333999</v>
      </c>
      <c r="AF61" s="44">
        <f t="shared" si="29"/>
        <v>294896.17814333999</v>
      </c>
      <c r="AG61" s="44">
        <f t="shared" si="30"/>
        <v>294896.17814333999</v>
      </c>
      <c r="AH61" s="44">
        <f t="shared" si="31"/>
        <v>294985.07520890102</v>
      </c>
      <c r="AI61" s="44">
        <f t="shared" si="32"/>
        <v>294985.07520890102</v>
      </c>
      <c r="AJ61" s="44">
        <f t="shared" si="33"/>
        <v>294985.07520890102</v>
      </c>
      <c r="AK61" s="44">
        <f t="shared" si="34"/>
        <v>294985.07520890102</v>
      </c>
      <c r="AL61" s="44">
        <f t="shared" si="35"/>
        <v>294691.67607286957</v>
      </c>
      <c r="AM61" s="44">
        <f t="shared" si="36"/>
        <v>294691.67607286957</v>
      </c>
      <c r="AN61" s="44">
        <f t="shared" si="37"/>
        <v>294691.67607286957</v>
      </c>
      <c r="AO61" s="44">
        <f t="shared" si="38"/>
        <v>294691.67607286957</v>
      </c>
      <c r="AP61" s="44">
        <f t="shared" si="39"/>
        <v>312843.91338496719</v>
      </c>
      <c r="AQ61" s="44">
        <f t="shared" si="40"/>
        <v>312843.91338496719</v>
      </c>
      <c r="AR61" s="44">
        <f t="shared" si="41"/>
        <v>312843.91338496719</v>
      </c>
      <c r="AS61" s="44">
        <f t="shared" si="42"/>
        <v>312843.91338496719</v>
      </c>
    </row>
    <row r="62" spans="1:45" x14ac:dyDescent="0.2">
      <c r="A62" s="4">
        <v>1984.4</v>
      </c>
      <c r="B62" s="44">
        <f>chainindex!AK62/chainindex!AK63*newbrowser!B63</f>
        <v>277650.71979200741</v>
      </c>
      <c r="C62" s="44">
        <f t="shared" si="0"/>
        <v>277935.13552979857</v>
      </c>
      <c r="D62" s="44">
        <f t="shared" si="1"/>
        <v>277935.13552979857</v>
      </c>
      <c r="E62" s="44">
        <f t="shared" si="2"/>
        <v>277935.13552979857</v>
      </c>
      <c r="F62" s="44">
        <f t="shared" si="3"/>
        <v>277935.13552979857</v>
      </c>
      <c r="G62" s="44">
        <f t="shared" si="4"/>
        <v>277805.16751354461</v>
      </c>
      <c r="H62" s="44">
        <f t="shared" si="5"/>
        <v>277805.16751354461</v>
      </c>
      <c r="I62" s="44">
        <f t="shared" si="6"/>
        <v>277805.16751354461</v>
      </c>
      <c r="J62" s="44">
        <f t="shared" si="7"/>
        <v>277805.16751354461</v>
      </c>
      <c r="K62" s="44">
        <f t="shared" si="8"/>
        <v>277805.16751354461</v>
      </c>
      <c r="L62" s="44">
        <f t="shared" si="9"/>
        <v>277805.16751354461</v>
      </c>
      <c r="M62" s="44">
        <f t="shared" si="10"/>
        <v>277805.16906657908</v>
      </c>
      <c r="N62" s="44">
        <f t="shared" si="11"/>
        <v>277833.58959674148</v>
      </c>
      <c r="O62" s="44">
        <f t="shared" si="12"/>
        <v>277833.58959674148</v>
      </c>
      <c r="P62" s="44">
        <f t="shared" si="13"/>
        <v>277833.58959674148</v>
      </c>
      <c r="Q62" s="44">
        <f t="shared" si="14"/>
        <v>277833.58959674148</v>
      </c>
      <c r="R62" s="44">
        <f t="shared" si="15"/>
        <v>277849.19759281439</v>
      </c>
      <c r="S62" s="44">
        <f t="shared" si="16"/>
        <v>277849.19759281439</v>
      </c>
      <c r="T62" s="44">
        <f t="shared" si="17"/>
        <v>277849.19759281439</v>
      </c>
      <c r="U62" s="44">
        <f t="shared" si="18"/>
        <v>277849.19759281439</v>
      </c>
      <c r="V62" s="44">
        <f t="shared" si="19"/>
        <v>294760.50016363006</v>
      </c>
      <c r="W62" s="44">
        <f t="shared" si="20"/>
        <v>294760.50016363006</v>
      </c>
      <c r="X62" s="44">
        <f t="shared" si="21"/>
        <v>294760.50016363006</v>
      </c>
      <c r="Y62" s="44">
        <f t="shared" si="22"/>
        <v>294760.50016363006</v>
      </c>
      <c r="Z62" s="44">
        <f t="shared" si="23"/>
        <v>294524.28362604958</v>
      </c>
      <c r="AA62" s="44">
        <f t="shared" si="24"/>
        <v>294524.28362604958</v>
      </c>
      <c r="AB62" s="44">
        <f t="shared" si="25"/>
        <v>294524.28362604958</v>
      </c>
      <c r="AC62" s="44">
        <f t="shared" si="26"/>
        <v>294524.28362604958</v>
      </c>
      <c r="AD62" s="44">
        <f t="shared" si="27"/>
        <v>294943.13701319933</v>
      </c>
      <c r="AE62" s="44">
        <f t="shared" si="28"/>
        <v>294943.13701319933</v>
      </c>
      <c r="AF62" s="44">
        <f t="shared" si="29"/>
        <v>294943.13701319933</v>
      </c>
      <c r="AG62" s="44">
        <f t="shared" si="30"/>
        <v>294943.13701319933</v>
      </c>
      <c r="AH62" s="44">
        <f t="shared" si="31"/>
        <v>295032.04823460925</v>
      </c>
      <c r="AI62" s="44">
        <f t="shared" si="32"/>
        <v>295032.04823460925</v>
      </c>
      <c r="AJ62" s="44">
        <f t="shared" si="33"/>
        <v>295032.04823460925</v>
      </c>
      <c r="AK62" s="44">
        <f t="shared" si="34"/>
        <v>295032.04823460925</v>
      </c>
      <c r="AL62" s="44">
        <f t="shared" si="35"/>
        <v>294738.60237809492</v>
      </c>
      <c r="AM62" s="44">
        <f t="shared" si="36"/>
        <v>294738.60237809492</v>
      </c>
      <c r="AN62" s="44">
        <f t="shared" si="37"/>
        <v>294738.60237809492</v>
      </c>
      <c r="AO62" s="44">
        <f t="shared" si="38"/>
        <v>294738.60237809492</v>
      </c>
      <c r="AP62" s="44">
        <f t="shared" si="39"/>
        <v>312893.73022799118</v>
      </c>
      <c r="AQ62" s="44">
        <f t="shared" si="40"/>
        <v>312893.73022799118</v>
      </c>
      <c r="AR62" s="44">
        <f t="shared" si="41"/>
        <v>312893.73022799118</v>
      </c>
      <c r="AS62" s="44">
        <f t="shared" si="42"/>
        <v>312893.73022799118</v>
      </c>
    </row>
    <row r="63" spans="1:45" x14ac:dyDescent="0.2">
      <c r="A63" s="4">
        <v>1985.1</v>
      </c>
      <c r="B63" s="44">
        <f>chainindex!AK63/chainindex!AK64*newbrowser!B64</f>
        <v>279238.22402458079</v>
      </c>
      <c r="C63" s="44">
        <f t="shared" si="0"/>
        <v>279524.265946478</v>
      </c>
      <c r="D63" s="44">
        <f t="shared" si="1"/>
        <v>279524.265946478</v>
      </c>
      <c r="E63" s="44">
        <f t="shared" si="2"/>
        <v>279524.265946478</v>
      </c>
      <c r="F63" s="44">
        <f t="shared" si="3"/>
        <v>279524.265946478</v>
      </c>
      <c r="G63" s="44">
        <f t="shared" si="4"/>
        <v>279393.55482112616</v>
      </c>
      <c r="H63" s="44">
        <f t="shared" si="5"/>
        <v>279393.55482112616</v>
      </c>
      <c r="I63" s="44">
        <f t="shared" si="6"/>
        <v>279393.55482112616</v>
      </c>
      <c r="J63" s="44">
        <f t="shared" si="7"/>
        <v>279393.55482112616</v>
      </c>
      <c r="K63" s="44">
        <f t="shared" si="8"/>
        <v>279393.55482112616</v>
      </c>
      <c r="L63" s="44">
        <f t="shared" si="9"/>
        <v>279393.55482112616</v>
      </c>
      <c r="M63" s="44">
        <f t="shared" si="10"/>
        <v>279393.55638304027</v>
      </c>
      <c r="N63" s="44">
        <f t="shared" si="11"/>
        <v>279422.13941129367</v>
      </c>
      <c r="O63" s="44">
        <f t="shared" si="12"/>
        <v>279422.13941129367</v>
      </c>
      <c r="P63" s="44">
        <f t="shared" si="13"/>
        <v>279422.13941129367</v>
      </c>
      <c r="Q63" s="44">
        <f t="shared" si="14"/>
        <v>279422.13941129367</v>
      </c>
      <c r="R63" s="44">
        <f t="shared" si="15"/>
        <v>279437.83664812148</v>
      </c>
      <c r="S63" s="44">
        <f t="shared" si="16"/>
        <v>279437.83664812148</v>
      </c>
      <c r="T63" s="44">
        <f t="shared" si="17"/>
        <v>279437.83664812148</v>
      </c>
      <c r="U63" s="44">
        <f t="shared" si="18"/>
        <v>279437.83664812148</v>
      </c>
      <c r="V63" s="44">
        <f t="shared" si="19"/>
        <v>296445.83179884334</v>
      </c>
      <c r="W63" s="44">
        <f t="shared" si="20"/>
        <v>296445.83179884334</v>
      </c>
      <c r="X63" s="44">
        <f t="shared" si="21"/>
        <v>296445.83179884334</v>
      </c>
      <c r="Y63" s="44">
        <f t="shared" si="22"/>
        <v>296445.83179884334</v>
      </c>
      <c r="Z63" s="44">
        <f t="shared" si="23"/>
        <v>296208.26466237556</v>
      </c>
      <c r="AA63" s="44">
        <f t="shared" si="24"/>
        <v>296208.26466237556</v>
      </c>
      <c r="AB63" s="44">
        <f t="shared" si="25"/>
        <v>296208.26466237556</v>
      </c>
      <c r="AC63" s="44">
        <f t="shared" si="26"/>
        <v>296208.26466237556</v>
      </c>
      <c r="AD63" s="44">
        <f t="shared" si="27"/>
        <v>296629.51289843989</v>
      </c>
      <c r="AE63" s="44">
        <f t="shared" si="28"/>
        <v>296629.51289843989</v>
      </c>
      <c r="AF63" s="44">
        <f t="shared" si="29"/>
        <v>296629.51289843989</v>
      </c>
      <c r="AG63" s="44">
        <f t="shared" si="30"/>
        <v>296629.51289843989</v>
      </c>
      <c r="AH63" s="44">
        <f t="shared" si="31"/>
        <v>296718.93248136394</v>
      </c>
      <c r="AI63" s="44">
        <f t="shared" si="32"/>
        <v>296718.93248136394</v>
      </c>
      <c r="AJ63" s="44">
        <f t="shared" si="33"/>
        <v>296718.93248136394</v>
      </c>
      <c r="AK63" s="44">
        <f t="shared" si="34"/>
        <v>296718.93248136394</v>
      </c>
      <c r="AL63" s="44">
        <f t="shared" si="35"/>
        <v>296423.80880986108</v>
      </c>
      <c r="AM63" s="44">
        <f t="shared" si="36"/>
        <v>296423.80880986108</v>
      </c>
      <c r="AN63" s="44">
        <f t="shared" si="37"/>
        <v>296423.80880986108</v>
      </c>
      <c r="AO63" s="44">
        <f t="shared" si="38"/>
        <v>296423.80880986108</v>
      </c>
      <c r="AP63" s="44">
        <f t="shared" si="39"/>
        <v>314682.74097305501</v>
      </c>
      <c r="AQ63" s="44">
        <f t="shared" si="40"/>
        <v>314682.74097305501</v>
      </c>
      <c r="AR63" s="44">
        <f t="shared" si="41"/>
        <v>314682.74097305501</v>
      </c>
      <c r="AS63" s="44">
        <f t="shared" si="42"/>
        <v>314682.74097305501</v>
      </c>
    </row>
    <row r="64" spans="1:45" x14ac:dyDescent="0.2">
      <c r="A64" s="4">
        <v>1985.2</v>
      </c>
      <c r="B64" s="44">
        <f>chainindex!AK64/chainindex!AK65*newbrowser!B65</f>
        <v>282926.79856005224</v>
      </c>
      <c r="C64" s="44">
        <f t="shared" si="0"/>
        <v>283216.61892937683</v>
      </c>
      <c r="D64" s="44">
        <f t="shared" si="1"/>
        <v>283216.61892937683</v>
      </c>
      <c r="E64" s="44">
        <f t="shared" si="2"/>
        <v>283216.61892937683</v>
      </c>
      <c r="F64" s="44">
        <f t="shared" si="3"/>
        <v>283216.61892937683</v>
      </c>
      <c r="G64" s="44">
        <f t="shared" si="4"/>
        <v>283084.18118608021</v>
      </c>
      <c r="H64" s="44">
        <f t="shared" si="5"/>
        <v>283084.18118608021</v>
      </c>
      <c r="I64" s="44">
        <f t="shared" si="6"/>
        <v>283084.18118608021</v>
      </c>
      <c r="J64" s="44">
        <f t="shared" si="7"/>
        <v>283084.18118608021</v>
      </c>
      <c r="K64" s="44">
        <f t="shared" si="8"/>
        <v>283084.18118608021</v>
      </c>
      <c r="L64" s="44">
        <f t="shared" si="9"/>
        <v>283084.18118608021</v>
      </c>
      <c r="M64" s="44">
        <f t="shared" si="10"/>
        <v>283084.18276862625</v>
      </c>
      <c r="N64" s="44">
        <f t="shared" si="11"/>
        <v>283113.14336205908</v>
      </c>
      <c r="O64" s="44">
        <f t="shared" si="12"/>
        <v>283113.14336205908</v>
      </c>
      <c r="P64" s="44">
        <f t="shared" si="13"/>
        <v>283113.14336205908</v>
      </c>
      <c r="Q64" s="44">
        <f t="shared" si="14"/>
        <v>283113.14336205908</v>
      </c>
      <c r="R64" s="44">
        <f t="shared" si="15"/>
        <v>283129.04795025598</v>
      </c>
      <c r="S64" s="44">
        <f t="shared" si="16"/>
        <v>283129.04795025598</v>
      </c>
      <c r="T64" s="44">
        <f t="shared" si="17"/>
        <v>283129.04795025598</v>
      </c>
      <c r="U64" s="44">
        <f t="shared" si="18"/>
        <v>283129.04795025598</v>
      </c>
      <c r="V64" s="44">
        <f t="shared" si="19"/>
        <v>300361.70882513333</v>
      </c>
      <c r="W64" s="44">
        <f t="shared" si="20"/>
        <v>300361.70882513333</v>
      </c>
      <c r="X64" s="44">
        <f t="shared" si="21"/>
        <v>300361.70882513333</v>
      </c>
      <c r="Y64" s="44">
        <f t="shared" si="22"/>
        <v>300361.70882513333</v>
      </c>
      <c r="Z64" s="44">
        <f t="shared" si="23"/>
        <v>300121.00356496096</v>
      </c>
      <c r="AA64" s="44">
        <f t="shared" si="24"/>
        <v>300121.00356496096</v>
      </c>
      <c r="AB64" s="44">
        <f t="shared" si="25"/>
        <v>300121.00356496096</v>
      </c>
      <c r="AC64" s="44">
        <f t="shared" si="26"/>
        <v>300121.00356496096</v>
      </c>
      <c r="AD64" s="44">
        <f t="shared" si="27"/>
        <v>300547.8162452273</v>
      </c>
      <c r="AE64" s="44">
        <f t="shared" si="28"/>
        <v>300547.8162452273</v>
      </c>
      <c r="AF64" s="44">
        <f t="shared" si="29"/>
        <v>300547.8162452273</v>
      </c>
      <c r="AG64" s="44">
        <f t="shared" si="30"/>
        <v>300547.8162452273</v>
      </c>
      <c r="AH64" s="44">
        <f t="shared" si="31"/>
        <v>300638.41700883565</v>
      </c>
      <c r="AI64" s="44">
        <f t="shared" si="32"/>
        <v>300638.41700883565</v>
      </c>
      <c r="AJ64" s="44">
        <f t="shared" si="33"/>
        <v>300638.41700883565</v>
      </c>
      <c r="AK64" s="44">
        <f t="shared" si="34"/>
        <v>300638.41700883565</v>
      </c>
      <c r="AL64" s="44">
        <f t="shared" si="35"/>
        <v>300339.394925275</v>
      </c>
      <c r="AM64" s="44">
        <f t="shared" si="36"/>
        <v>300339.394925275</v>
      </c>
      <c r="AN64" s="44">
        <f t="shared" si="37"/>
        <v>300339.394925275</v>
      </c>
      <c r="AO64" s="44">
        <f t="shared" si="38"/>
        <v>300339.394925275</v>
      </c>
      <c r="AP64" s="44">
        <f t="shared" si="39"/>
        <v>318839.51696301892</v>
      </c>
      <c r="AQ64" s="44">
        <f t="shared" si="40"/>
        <v>318839.51696301892</v>
      </c>
      <c r="AR64" s="44">
        <f t="shared" si="41"/>
        <v>318839.51696301892</v>
      </c>
      <c r="AS64" s="44">
        <f t="shared" si="42"/>
        <v>318839.51696301892</v>
      </c>
    </row>
    <row r="65" spans="1:45" x14ac:dyDescent="0.2">
      <c r="A65" s="4">
        <v>1985.3</v>
      </c>
      <c r="B65" s="44">
        <f>chainindex!AK65/chainindex!AK66*newbrowser!B66</f>
        <v>285192.99010581424</v>
      </c>
      <c r="C65" s="44">
        <f t="shared" si="0"/>
        <v>285485.13188291673</v>
      </c>
      <c r="D65" s="44">
        <f t="shared" si="1"/>
        <v>285485.13188291673</v>
      </c>
      <c r="E65" s="44">
        <f t="shared" si="2"/>
        <v>285485.13188291673</v>
      </c>
      <c r="F65" s="44">
        <f t="shared" si="3"/>
        <v>285485.13188291673</v>
      </c>
      <c r="G65" s="44">
        <f t="shared" si="4"/>
        <v>285351.63333768927</v>
      </c>
      <c r="H65" s="44">
        <f t="shared" si="5"/>
        <v>285351.63333768927</v>
      </c>
      <c r="I65" s="44">
        <f t="shared" si="6"/>
        <v>285351.63333768927</v>
      </c>
      <c r="J65" s="44">
        <f t="shared" si="7"/>
        <v>285351.63333768927</v>
      </c>
      <c r="K65" s="44">
        <f t="shared" si="8"/>
        <v>285351.63333768927</v>
      </c>
      <c r="L65" s="44">
        <f t="shared" si="9"/>
        <v>285351.63333768927</v>
      </c>
      <c r="M65" s="44">
        <f t="shared" si="10"/>
        <v>285351.63493291126</v>
      </c>
      <c r="N65" s="44">
        <f t="shared" si="11"/>
        <v>285380.82749536342</v>
      </c>
      <c r="O65" s="44">
        <f t="shared" si="12"/>
        <v>285380.82749536342</v>
      </c>
      <c r="P65" s="44">
        <f t="shared" si="13"/>
        <v>285380.82749536342</v>
      </c>
      <c r="Q65" s="44">
        <f t="shared" si="14"/>
        <v>285380.82749536342</v>
      </c>
      <c r="R65" s="44">
        <f t="shared" si="15"/>
        <v>285396.85947638238</v>
      </c>
      <c r="S65" s="44">
        <f t="shared" si="16"/>
        <v>285396.85947638238</v>
      </c>
      <c r="T65" s="44">
        <f t="shared" si="17"/>
        <v>285396.85947638238</v>
      </c>
      <c r="U65" s="44">
        <f t="shared" si="18"/>
        <v>285396.85947638238</v>
      </c>
      <c r="V65" s="44">
        <f t="shared" si="19"/>
        <v>302767.55079088011</v>
      </c>
      <c r="W65" s="44">
        <f t="shared" si="20"/>
        <v>302767.55079088011</v>
      </c>
      <c r="X65" s="44">
        <f t="shared" si="21"/>
        <v>302767.55079088011</v>
      </c>
      <c r="Y65" s="44">
        <f t="shared" si="22"/>
        <v>302767.55079088011</v>
      </c>
      <c r="Z65" s="44">
        <f t="shared" si="23"/>
        <v>302524.91752590792</v>
      </c>
      <c r="AA65" s="44">
        <f t="shared" si="24"/>
        <v>302524.91752590792</v>
      </c>
      <c r="AB65" s="44">
        <f t="shared" si="25"/>
        <v>302524.91752590792</v>
      </c>
      <c r="AC65" s="44">
        <f t="shared" si="26"/>
        <v>302524.91752590792</v>
      </c>
      <c r="AD65" s="44">
        <f t="shared" si="27"/>
        <v>302955.14889713092</v>
      </c>
      <c r="AE65" s="44">
        <f t="shared" si="28"/>
        <v>302955.14889713092</v>
      </c>
      <c r="AF65" s="44">
        <f t="shared" si="29"/>
        <v>302955.14889713092</v>
      </c>
      <c r="AG65" s="44">
        <f t="shared" si="30"/>
        <v>302955.14889713092</v>
      </c>
      <c r="AH65" s="44">
        <f t="shared" si="31"/>
        <v>303046.47535616852</v>
      </c>
      <c r="AI65" s="44">
        <f t="shared" si="32"/>
        <v>303046.47535616852</v>
      </c>
      <c r="AJ65" s="44">
        <f t="shared" si="33"/>
        <v>303046.47535616852</v>
      </c>
      <c r="AK65" s="44">
        <f t="shared" si="34"/>
        <v>303046.47535616852</v>
      </c>
      <c r="AL65" s="44">
        <f t="shared" si="35"/>
        <v>302745.05816079373</v>
      </c>
      <c r="AM65" s="44">
        <f t="shared" si="36"/>
        <v>302745.05816079373</v>
      </c>
      <c r="AN65" s="44">
        <f t="shared" si="37"/>
        <v>302745.05816079373</v>
      </c>
      <c r="AO65" s="44">
        <f t="shared" si="38"/>
        <v>302745.05816079373</v>
      </c>
      <c r="AP65" s="44">
        <f t="shared" si="39"/>
        <v>321393.36276862602</v>
      </c>
      <c r="AQ65" s="44">
        <f t="shared" si="40"/>
        <v>321393.36276862602</v>
      </c>
      <c r="AR65" s="44">
        <f t="shared" si="41"/>
        <v>321393.36276862602</v>
      </c>
      <c r="AS65" s="44">
        <f t="shared" si="42"/>
        <v>321393.36276862602</v>
      </c>
    </row>
    <row r="66" spans="1:45" x14ac:dyDescent="0.2">
      <c r="A66" s="4">
        <v>1985.4</v>
      </c>
      <c r="B66" s="44">
        <f>chainindex!AK66/chainindex!AK67*newbrowser!B67</f>
        <v>287095.13481691567</v>
      </c>
      <c r="C66" s="44">
        <f t="shared" si="0"/>
        <v>287389.22508488392</v>
      </c>
      <c r="D66" s="44">
        <f t="shared" si="1"/>
        <v>287389.22508488392</v>
      </c>
      <c r="E66" s="44">
        <f t="shared" si="2"/>
        <v>287389.22508488392</v>
      </c>
      <c r="F66" s="44">
        <f t="shared" si="3"/>
        <v>287389.22508488392</v>
      </c>
      <c r="G66" s="44">
        <f t="shared" si="4"/>
        <v>287254.83614767436</v>
      </c>
      <c r="H66" s="44">
        <f t="shared" si="5"/>
        <v>287254.83614767436</v>
      </c>
      <c r="I66" s="44">
        <f t="shared" si="6"/>
        <v>287254.83614767436</v>
      </c>
      <c r="J66" s="44">
        <f t="shared" si="7"/>
        <v>287254.83614767436</v>
      </c>
      <c r="K66" s="44">
        <f t="shared" si="8"/>
        <v>287254.83614767436</v>
      </c>
      <c r="L66" s="44">
        <f t="shared" si="9"/>
        <v>287254.83614767436</v>
      </c>
      <c r="M66" s="44">
        <f t="shared" si="10"/>
        <v>287254.83775353595</v>
      </c>
      <c r="N66" s="44">
        <f t="shared" si="11"/>
        <v>287284.22502090794</v>
      </c>
      <c r="O66" s="44">
        <f t="shared" si="12"/>
        <v>287284.22502090794</v>
      </c>
      <c r="P66" s="44">
        <f t="shared" si="13"/>
        <v>287284.22502090794</v>
      </c>
      <c r="Q66" s="44">
        <f t="shared" si="14"/>
        <v>287284.22502090794</v>
      </c>
      <c r="R66" s="44">
        <f t="shared" si="15"/>
        <v>287300.36393003858</v>
      </c>
      <c r="S66" s="44">
        <f t="shared" si="16"/>
        <v>287300.36393003858</v>
      </c>
      <c r="T66" s="44">
        <f t="shared" si="17"/>
        <v>287300.36393003858</v>
      </c>
      <c r="U66" s="44">
        <f t="shared" si="18"/>
        <v>287300.36393003858</v>
      </c>
      <c r="V66" s="44">
        <f t="shared" si="19"/>
        <v>304786.91211955907</v>
      </c>
      <c r="W66" s="44">
        <f t="shared" si="20"/>
        <v>304786.91211955907</v>
      </c>
      <c r="X66" s="44">
        <f t="shared" si="21"/>
        <v>304786.91211955907</v>
      </c>
      <c r="Y66" s="44">
        <f t="shared" si="22"/>
        <v>304786.91211955907</v>
      </c>
      <c r="Z66" s="44">
        <f t="shared" si="23"/>
        <v>304542.66056943365</v>
      </c>
      <c r="AA66" s="44">
        <f t="shared" si="24"/>
        <v>304542.66056943365</v>
      </c>
      <c r="AB66" s="44">
        <f t="shared" si="25"/>
        <v>304542.66056943365</v>
      </c>
      <c r="AC66" s="44">
        <f t="shared" si="26"/>
        <v>304542.66056943365</v>
      </c>
      <c r="AD66" s="44">
        <f t="shared" si="27"/>
        <v>304975.76144431107</v>
      </c>
      <c r="AE66" s="44">
        <f t="shared" si="28"/>
        <v>304975.76144431107</v>
      </c>
      <c r="AF66" s="44">
        <f t="shared" si="29"/>
        <v>304975.76144431107</v>
      </c>
      <c r="AG66" s="44">
        <f t="shared" si="30"/>
        <v>304975.76144431107</v>
      </c>
      <c r="AH66" s="44">
        <f t="shared" si="31"/>
        <v>305067.69702119892</v>
      </c>
      <c r="AI66" s="44">
        <f t="shared" si="32"/>
        <v>305067.69702119892</v>
      </c>
      <c r="AJ66" s="44">
        <f t="shared" si="33"/>
        <v>305067.69702119892</v>
      </c>
      <c r="AK66" s="44">
        <f t="shared" si="34"/>
        <v>305067.69702119892</v>
      </c>
      <c r="AL66" s="44">
        <f t="shared" si="35"/>
        <v>304764.26947092795</v>
      </c>
      <c r="AM66" s="44">
        <f t="shared" si="36"/>
        <v>304764.26947092795</v>
      </c>
      <c r="AN66" s="44">
        <f t="shared" si="37"/>
        <v>304764.26947092795</v>
      </c>
      <c r="AO66" s="44">
        <f t="shared" si="38"/>
        <v>304764.26947092795</v>
      </c>
      <c r="AP66" s="44">
        <f t="shared" si="39"/>
        <v>323536.95221991872</v>
      </c>
      <c r="AQ66" s="44">
        <f t="shared" si="40"/>
        <v>323536.95221991872</v>
      </c>
      <c r="AR66" s="44">
        <f t="shared" si="41"/>
        <v>323536.95221991872</v>
      </c>
      <c r="AS66" s="44">
        <f t="shared" si="42"/>
        <v>323536.95221991872</v>
      </c>
    </row>
    <row r="67" spans="1:45" x14ac:dyDescent="0.2">
      <c r="A67" s="4">
        <v>1986.1</v>
      </c>
      <c r="B67" s="44">
        <f>chainindex!AK67/chainindex!AK68*newbrowser!B68</f>
        <v>288884.164975819</v>
      </c>
      <c r="C67" s="44">
        <f t="shared" ref="C67:C105" si="43">B67/B68*C68</f>
        <v>289180.08786404104</v>
      </c>
      <c r="D67" s="44">
        <f t="shared" ref="D67:D106" si="44">C67/C68*D68</f>
        <v>289180.08786404104</v>
      </c>
      <c r="E67" s="44">
        <f t="shared" ref="E67:E106" si="45">D67/D68*E68</f>
        <v>289180.08786404104</v>
      </c>
      <c r="F67" s="44">
        <f t="shared" ref="F67:F106" si="46">E67/E68*F68</f>
        <v>289180.08786404104</v>
      </c>
      <c r="G67" s="44">
        <f t="shared" ref="G67:G106" si="47">F67/F68*G68</f>
        <v>289044.86148365488</v>
      </c>
      <c r="H67" s="44">
        <f t="shared" ref="H67:H106" si="48">G67/G68*H68</f>
        <v>289044.86148365488</v>
      </c>
      <c r="I67" s="44">
        <f t="shared" ref="I67:I106" si="49">H67/H68*I68</f>
        <v>289044.86148365488</v>
      </c>
      <c r="J67" s="44">
        <f t="shared" ref="J67:J106" si="50">I67/I68*J68</f>
        <v>289044.86148365488</v>
      </c>
      <c r="K67" s="44">
        <f t="shared" ref="K67:K106" si="51">J67/J68*K68</f>
        <v>289044.86148365488</v>
      </c>
      <c r="L67" s="44">
        <f t="shared" ref="L67:L106" si="52">K67/K68*L68</f>
        <v>289044.86148365488</v>
      </c>
      <c r="M67" s="44">
        <f t="shared" ref="M67:M106" si="53">L67/L68*M68</f>
        <v>289044.86309952335</v>
      </c>
      <c r="N67" s="44">
        <f t="shared" ref="N67:N106" si="54">M67/M68*N68</f>
        <v>289074.43349332712</v>
      </c>
      <c r="O67" s="44">
        <f t="shared" ref="O67:O106" si="55">N67/N68*O68</f>
        <v>289074.43349332712</v>
      </c>
      <c r="P67" s="44">
        <f t="shared" ref="P67:P106" si="56">O67/O68*P68</f>
        <v>289074.43349332712</v>
      </c>
      <c r="Q67" s="44">
        <f t="shared" ref="Q67:Q106" si="57">P67/P68*Q68</f>
        <v>289074.43349332712</v>
      </c>
      <c r="R67" s="44">
        <f t="shared" ref="R67:R106" si="58">Q67/Q68*R68</f>
        <v>289090.67297189165</v>
      </c>
      <c r="S67" s="44">
        <f t="shared" ref="S67:S106" si="59">R67/R68*S68</f>
        <v>289090.67297189165</v>
      </c>
      <c r="T67" s="44">
        <f t="shared" ref="T67:T106" si="60">S67/S68*T68</f>
        <v>289090.67297189165</v>
      </c>
      <c r="U67" s="44">
        <f t="shared" ref="U67:U106" si="61">T67/T68*U68</f>
        <v>289090.67297189165</v>
      </c>
      <c r="V67" s="44">
        <f t="shared" ref="V67:V106" si="62">U67/U68*V68</f>
        <v>306686.18839314918</v>
      </c>
      <c r="W67" s="44">
        <f t="shared" ref="W67:W106" si="63">V67/V68*W68</f>
        <v>306686.18839314918</v>
      </c>
      <c r="X67" s="44">
        <f t="shared" ref="X67:X106" si="64">W67/W68*X68</f>
        <v>306686.18839314918</v>
      </c>
      <c r="Y67" s="44">
        <f t="shared" ref="Y67:Y106" si="65">X67/X68*Y68</f>
        <v>306686.18839314918</v>
      </c>
      <c r="Z67" s="44">
        <f t="shared" ref="Z67:Z106" si="66">Y67/Y68*Z68</f>
        <v>306440.41479218926</v>
      </c>
      <c r="AA67" s="44">
        <f t="shared" ref="AA67:AA106" si="67">Z67/Z68*AA68</f>
        <v>306440.41479218926</v>
      </c>
      <c r="AB67" s="44">
        <f t="shared" ref="AB67:AB106" si="68">AA67/AA68*AB68</f>
        <v>306440.41479218926</v>
      </c>
      <c r="AC67" s="44">
        <f t="shared" ref="AC67:AC106" si="69">AB67/AB68*AC68</f>
        <v>306440.41479218926</v>
      </c>
      <c r="AD67" s="44">
        <f t="shared" ref="AD67:AD106" si="70">AC67/AC68*AD68</f>
        <v>306876.21453038073</v>
      </c>
      <c r="AE67" s="44">
        <f t="shared" ref="AE67:AE106" si="71">AD67/AD68*AE68</f>
        <v>306876.21453038073</v>
      </c>
      <c r="AF67" s="44">
        <f t="shared" ref="AF67:AF106" si="72">AE67/AE68*AF68</f>
        <v>306876.21453038073</v>
      </c>
      <c r="AG67" s="44">
        <f t="shared" ref="AG67:AG106" si="73">AF67/AF68*AG68</f>
        <v>306876.21453038073</v>
      </c>
      <c r="AH67" s="44">
        <f t="shared" ref="AH67:AH106" si="74">AG67/AG68*AH68</f>
        <v>306968.72300279967</v>
      </c>
      <c r="AI67" s="44">
        <f t="shared" ref="AI67:AI106" si="75">AH67/AH68*AI68</f>
        <v>306968.72300279967</v>
      </c>
      <c r="AJ67" s="44">
        <f t="shared" ref="AJ67:AJ106" si="76">AI67/AI68*AJ68</f>
        <v>306968.72300279967</v>
      </c>
      <c r="AK67" s="44">
        <f t="shared" ref="AK67:AK106" si="77">AJ67/AJ68*AK68</f>
        <v>306968.72300279967</v>
      </c>
      <c r="AL67" s="44">
        <f t="shared" ref="AL67:AL106" si="78">AK67/AK68*AL68</f>
        <v>306663.40464710345</v>
      </c>
      <c r="AM67" s="44">
        <f t="shared" ref="AM67:AM106" si="79">AL67/AL68*AM68</f>
        <v>306663.40464710345</v>
      </c>
      <c r="AN67" s="44">
        <f t="shared" ref="AN67:AN106" si="80">AM67/AM68*AN68</f>
        <v>306663.40464710345</v>
      </c>
      <c r="AO67" s="44">
        <f t="shared" ref="AO67:AO106" si="81">AN67/AN68*AO68</f>
        <v>306663.40464710345</v>
      </c>
      <c r="AP67" s="44">
        <f t="shared" ref="AP67:AP106" si="82">AO67/AO68*AP68</f>
        <v>325553.06916112092</v>
      </c>
      <c r="AQ67" s="44">
        <f t="shared" ref="AQ67:AQ106" si="83">AP67/AP68*AQ68</f>
        <v>325553.06916112092</v>
      </c>
      <c r="AR67" s="44">
        <f t="shared" ref="AR67:AR106" si="84">AQ67/AQ68*AR68</f>
        <v>325553.06916112092</v>
      </c>
      <c r="AS67" s="44">
        <f t="shared" ref="AS67:AS106" si="85">AR67/AR68*AS68</f>
        <v>325553.06916112092</v>
      </c>
    </row>
    <row r="68" spans="1:45" x14ac:dyDescent="0.2">
      <c r="A68" s="4">
        <v>1986.2</v>
      </c>
      <c r="B68" s="44">
        <f>chainindex!AK68/chainindex!AK69*newbrowser!B69</f>
        <v>290752.50533798762</v>
      </c>
      <c r="C68" s="44">
        <f t="shared" si="43"/>
        <v>291050.34208907647</v>
      </c>
      <c r="D68" s="44">
        <f t="shared" si="44"/>
        <v>291050.34208907647</v>
      </c>
      <c r="E68" s="44">
        <f t="shared" si="45"/>
        <v>291050.34208907647</v>
      </c>
      <c r="F68" s="44">
        <f t="shared" si="46"/>
        <v>291050.34208907647</v>
      </c>
      <c r="G68" s="44">
        <f t="shared" si="47"/>
        <v>290914.24114048918</v>
      </c>
      <c r="H68" s="44">
        <f t="shared" si="48"/>
        <v>290914.24114048918</v>
      </c>
      <c r="I68" s="44">
        <f t="shared" si="49"/>
        <v>290914.24114048918</v>
      </c>
      <c r="J68" s="44">
        <f t="shared" si="50"/>
        <v>290914.24114048918</v>
      </c>
      <c r="K68" s="44">
        <f t="shared" si="51"/>
        <v>290914.24114048918</v>
      </c>
      <c r="L68" s="44">
        <f t="shared" si="52"/>
        <v>290914.24114048918</v>
      </c>
      <c r="M68" s="44">
        <f t="shared" si="53"/>
        <v>290914.24276680819</v>
      </c>
      <c r="N68" s="44">
        <f t="shared" si="54"/>
        <v>290944.00440529396</v>
      </c>
      <c r="O68" s="44">
        <f t="shared" si="55"/>
        <v>290944.00440529396</v>
      </c>
      <c r="P68" s="44">
        <f t="shared" si="56"/>
        <v>290944.00440529396</v>
      </c>
      <c r="Q68" s="44">
        <f t="shared" si="57"/>
        <v>290944.00440529396</v>
      </c>
      <c r="R68" s="44">
        <f t="shared" si="58"/>
        <v>290960.34891167568</v>
      </c>
      <c r="S68" s="44">
        <f t="shared" si="59"/>
        <v>290960.34891167568</v>
      </c>
      <c r="T68" s="44">
        <f t="shared" si="60"/>
        <v>290960.34891167568</v>
      </c>
      <c r="U68" s="44">
        <f t="shared" si="61"/>
        <v>290960.34891167568</v>
      </c>
      <c r="V68" s="44">
        <f t="shared" si="62"/>
        <v>308669.66223410045</v>
      </c>
      <c r="W68" s="44">
        <f t="shared" si="63"/>
        <v>308669.66223410045</v>
      </c>
      <c r="X68" s="44">
        <f t="shared" si="64"/>
        <v>308669.66223410045</v>
      </c>
      <c r="Y68" s="44">
        <f t="shared" si="65"/>
        <v>308669.66223410045</v>
      </c>
      <c r="Z68" s="44">
        <f t="shared" si="66"/>
        <v>308422.29910766875</v>
      </c>
      <c r="AA68" s="44">
        <f t="shared" si="67"/>
        <v>308422.29910766875</v>
      </c>
      <c r="AB68" s="44">
        <f t="shared" si="68"/>
        <v>308422.29910766875</v>
      </c>
      <c r="AC68" s="44">
        <f t="shared" si="69"/>
        <v>308422.29910766875</v>
      </c>
      <c r="AD68" s="44">
        <f t="shared" si="70"/>
        <v>308860.91735355085</v>
      </c>
      <c r="AE68" s="44">
        <f t="shared" si="71"/>
        <v>308860.91735355085</v>
      </c>
      <c r="AF68" s="44">
        <f t="shared" si="72"/>
        <v>308860.91735355085</v>
      </c>
      <c r="AG68" s="44">
        <f t="shared" si="73"/>
        <v>308860.91735355085</v>
      </c>
      <c r="AH68" s="44">
        <f t="shared" si="74"/>
        <v>308954.02411875915</v>
      </c>
      <c r="AI68" s="44">
        <f t="shared" si="75"/>
        <v>308954.02411875915</v>
      </c>
      <c r="AJ68" s="44">
        <f t="shared" si="76"/>
        <v>308954.02411875915</v>
      </c>
      <c r="AK68" s="44">
        <f t="shared" si="77"/>
        <v>308954.02411875915</v>
      </c>
      <c r="AL68" s="44">
        <f t="shared" si="78"/>
        <v>308646.73113559483</v>
      </c>
      <c r="AM68" s="44">
        <f t="shared" si="79"/>
        <v>308646.73113559483</v>
      </c>
      <c r="AN68" s="44">
        <f t="shared" si="80"/>
        <v>308646.73113559483</v>
      </c>
      <c r="AO68" s="44">
        <f t="shared" si="81"/>
        <v>308646.73113559483</v>
      </c>
      <c r="AP68" s="44">
        <f t="shared" si="82"/>
        <v>327658.56337951304</v>
      </c>
      <c r="AQ68" s="44">
        <f t="shared" si="83"/>
        <v>327658.56337951304</v>
      </c>
      <c r="AR68" s="44">
        <f t="shared" si="84"/>
        <v>327658.56337951304</v>
      </c>
      <c r="AS68" s="44">
        <f t="shared" si="85"/>
        <v>327658.56337951304</v>
      </c>
    </row>
    <row r="69" spans="1:45" x14ac:dyDescent="0.2">
      <c r="A69" s="4">
        <v>1986.3</v>
      </c>
      <c r="B69" s="44">
        <f>chainindex!AK69/chainindex!AK70*newbrowser!B70</f>
        <v>293654.47867713892</v>
      </c>
      <c r="C69" s="44">
        <f t="shared" si="43"/>
        <v>293955.28810875578</v>
      </c>
      <c r="D69" s="44">
        <f t="shared" si="44"/>
        <v>293955.28810875578</v>
      </c>
      <c r="E69" s="44">
        <f t="shared" si="45"/>
        <v>293955.28810875578</v>
      </c>
      <c r="F69" s="44">
        <f t="shared" si="46"/>
        <v>293955.28810875578</v>
      </c>
      <c r="G69" s="44">
        <f t="shared" si="47"/>
        <v>293817.82874943432</v>
      </c>
      <c r="H69" s="44">
        <f t="shared" si="48"/>
        <v>293817.82874943432</v>
      </c>
      <c r="I69" s="44">
        <f t="shared" si="49"/>
        <v>293817.82874943432</v>
      </c>
      <c r="J69" s="44">
        <f t="shared" si="50"/>
        <v>293817.82874943432</v>
      </c>
      <c r="K69" s="44">
        <f t="shared" si="51"/>
        <v>293817.82874943432</v>
      </c>
      <c r="L69" s="44">
        <f t="shared" si="52"/>
        <v>293817.82874943432</v>
      </c>
      <c r="M69" s="44">
        <f t="shared" si="53"/>
        <v>293817.83039198548</v>
      </c>
      <c r="N69" s="44">
        <f t="shared" si="54"/>
        <v>293847.88907857862</v>
      </c>
      <c r="O69" s="44">
        <f t="shared" si="55"/>
        <v>293847.88907857862</v>
      </c>
      <c r="P69" s="44">
        <f t="shared" si="56"/>
        <v>293847.88907857862</v>
      </c>
      <c r="Q69" s="44">
        <f t="shared" si="57"/>
        <v>293847.88907857862</v>
      </c>
      <c r="R69" s="44">
        <f t="shared" si="58"/>
        <v>293864.39671793731</v>
      </c>
      <c r="S69" s="44">
        <f t="shared" si="59"/>
        <v>293864.39671793731</v>
      </c>
      <c r="T69" s="44">
        <f t="shared" si="60"/>
        <v>293864.39671793731</v>
      </c>
      <c r="U69" s="44">
        <f t="shared" si="61"/>
        <v>293864.39671793731</v>
      </c>
      <c r="V69" s="44">
        <f t="shared" si="62"/>
        <v>311750.46502672619</v>
      </c>
      <c r="W69" s="44">
        <f t="shared" si="63"/>
        <v>311750.46502672619</v>
      </c>
      <c r="X69" s="44">
        <f t="shared" si="64"/>
        <v>311750.46502672619</v>
      </c>
      <c r="Y69" s="44">
        <f t="shared" si="65"/>
        <v>311750.46502672619</v>
      </c>
      <c r="Z69" s="44">
        <f t="shared" si="66"/>
        <v>311500.63299225474</v>
      </c>
      <c r="AA69" s="44">
        <f t="shared" si="67"/>
        <v>311500.63299225474</v>
      </c>
      <c r="AB69" s="44">
        <f t="shared" si="68"/>
        <v>311500.63299225474</v>
      </c>
      <c r="AC69" s="44">
        <f t="shared" si="69"/>
        <v>311500.63299225474</v>
      </c>
      <c r="AD69" s="44">
        <f t="shared" si="70"/>
        <v>311943.6290454893</v>
      </c>
      <c r="AE69" s="44">
        <f t="shared" si="71"/>
        <v>311943.6290454893</v>
      </c>
      <c r="AF69" s="44">
        <f t="shared" si="72"/>
        <v>311943.6290454893</v>
      </c>
      <c r="AG69" s="44">
        <f t="shared" si="73"/>
        <v>311943.6290454893</v>
      </c>
      <c r="AH69" s="44">
        <f t="shared" si="74"/>
        <v>312037.66510054161</v>
      </c>
      <c r="AI69" s="44">
        <f t="shared" si="75"/>
        <v>312037.66510054161</v>
      </c>
      <c r="AJ69" s="44">
        <f t="shared" si="76"/>
        <v>312037.66510054161</v>
      </c>
      <c r="AK69" s="44">
        <f t="shared" si="77"/>
        <v>312037.66510054161</v>
      </c>
      <c r="AL69" s="44">
        <f t="shared" si="78"/>
        <v>311727.30505508865</v>
      </c>
      <c r="AM69" s="44">
        <f t="shared" si="79"/>
        <v>311727.30505508865</v>
      </c>
      <c r="AN69" s="44">
        <f t="shared" si="80"/>
        <v>311727.30505508865</v>
      </c>
      <c r="AO69" s="44">
        <f t="shared" si="81"/>
        <v>311727.30505508865</v>
      </c>
      <c r="AP69" s="44">
        <f t="shared" si="82"/>
        <v>330928.89260390482</v>
      </c>
      <c r="AQ69" s="44">
        <f t="shared" si="83"/>
        <v>330928.89260390482</v>
      </c>
      <c r="AR69" s="44">
        <f t="shared" si="84"/>
        <v>330928.89260390482</v>
      </c>
      <c r="AS69" s="44">
        <f t="shared" si="85"/>
        <v>330928.89260390482</v>
      </c>
    </row>
    <row r="70" spans="1:45" x14ac:dyDescent="0.2">
      <c r="A70" s="4">
        <v>1986.4</v>
      </c>
      <c r="B70" s="44">
        <f>chainindex!AK70/chainindex!AK71*newbrowser!B71</f>
        <v>294861.03390058537</v>
      </c>
      <c r="C70" s="44">
        <f t="shared" si="43"/>
        <v>295163.07928539667</v>
      </c>
      <c r="D70" s="44">
        <f t="shared" si="44"/>
        <v>295163.07928539667</v>
      </c>
      <c r="E70" s="44">
        <f t="shared" si="45"/>
        <v>295163.07928539667</v>
      </c>
      <c r="F70" s="44">
        <f t="shared" si="46"/>
        <v>295163.07928539667</v>
      </c>
      <c r="G70" s="44">
        <f t="shared" si="47"/>
        <v>295025.05513881659</v>
      </c>
      <c r="H70" s="44">
        <f t="shared" si="48"/>
        <v>295025.05513881659</v>
      </c>
      <c r="I70" s="44">
        <f t="shared" si="49"/>
        <v>295025.05513881659</v>
      </c>
      <c r="J70" s="44">
        <f t="shared" si="50"/>
        <v>295025.05513881659</v>
      </c>
      <c r="K70" s="44">
        <f t="shared" si="51"/>
        <v>295025.05513881659</v>
      </c>
      <c r="L70" s="44">
        <f t="shared" si="52"/>
        <v>295025.05513881659</v>
      </c>
      <c r="M70" s="44">
        <f t="shared" si="53"/>
        <v>295025.05678811658</v>
      </c>
      <c r="N70" s="44">
        <f t="shared" si="54"/>
        <v>295055.23897858232</v>
      </c>
      <c r="O70" s="44">
        <f t="shared" si="55"/>
        <v>295055.23897858232</v>
      </c>
      <c r="P70" s="44">
        <f t="shared" si="56"/>
        <v>295055.23897858232</v>
      </c>
      <c r="Q70" s="44">
        <f t="shared" si="57"/>
        <v>295055.23897858232</v>
      </c>
      <c r="R70" s="44">
        <f t="shared" si="58"/>
        <v>295071.81444383826</v>
      </c>
      <c r="S70" s="44">
        <f t="shared" si="59"/>
        <v>295071.81444383826</v>
      </c>
      <c r="T70" s="44">
        <f t="shared" si="60"/>
        <v>295071.81444383826</v>
      </c>
      <c r="U70" s="44">
        <f t="shared" si="61"/>
        <v>295071.81444383826</v>
      </c>
      <c r="V70" s="44">
        <f t="shared" si="62"/>
        <v>313031.37228100793</v>
      </c>
      <c r="W70" s="44">
        <f t="shared" si="63"/>
        <v>313031.37228100793</v>
      </c>
      <c r="X70" s="44">
        <f t="shared" si="64"/>
        <v>313031.37228100793</v>
      </c>
      <c r="Y70" s="44">
        <f t="shared" si="65"/>
        <v>313031.37228100793</v>
      </c>
      <c r="Z70" s="44">
        <f t="shared" si="66"/>
        <v>312780.51374713646</v>
      </c>
      <c r="AA70" s="44">
        <f t="shared" si="67"/>
        <v>312780.51374713646</v>
      </c>
      <c r="AB70" s="44">
        <f t="shared" si="68"/>
        <v>312780.51374713646</v>
      </c>
      <c r="AC70" s="44">
        <f t="shared" si="69"/>
        <v>312780.51374713646</v>
      </c>
      <c r="AD70" s="44">
        <f t="shared" si="70"/>
        <v>313225.32996400143</v>
      </c>
      <c r="AE70" s="44">
        <f t="shared" si="71"/>
        <v>313225.32996400143</v>
      </c>
      <c r="AF70" s="44">
        <f t="shared" si="72"/>
        <v>313225.32996400143</v>
      </c>
      <c r="AG70" s="44">
        <f t="shared" si="73"/>
        <v>313225.32996400143</v>
      </c>
      <c r="AH70" s="44">
        <f t="shared" si="74"/>
        <v>313319.75239045842</v>
      </c>
      <c r="AI70" s="44">
        <f t="shared" si="75"/>
        <v>313319.75239045842</v>
      </c>
      <c r="AJ70" s="44">
        <f t="shared" si="76"/>
        <v>313319.75239045842</v>
      </c>
      <c r="AK70" s="44">
        <f t="shared" si="77"/>
        <v>313319.75239045842</v>
      </c>
      <c r="AL70" s="44">
        <f t="shared" si="78"/>
        <v>313008.1171506489</v>
      </c>
      <c r="AM70" s="44">
        <f t="shared" si="79"/>
        <v>313008.1171506489</v>
      </c>
      <c r="AN70" s="44">
        <f t="shared" si="80"/>
        <v>313008.1171506489</v>
      </c>
      <c r="AO70" s="44">
        <f t="shared" si="81"/>
        <v>313008.1171506489</v>
      </c>
      <c r="AP70" s="44">
        <f t="shared" si="82"/>
        <v>332288.59937820403</v>
      </c>
      <c r="AQ70" s="44">
        <f t="shared" si="83"/>
        <v>332288.59937820403</v>
      </c>
      <c r="AR70" s="44">
        <f t="shared" si="84"/>
        <v>332288.59937820403</v>
      </c>
      <c r="AS70" s="44">
        <f t="shared" si="85"/>
        <v>332288.59937820403</v>
      </c>
    </row>
    <row r="71" spans="1:45" x14ac:dyDescent="0.2">
      <c r="A71" s="4">
        <v>1987.1</v>
      </c>
      <c r="B71" s="44">
        <f>chainindex!AK71/chainindex!AK72*newbrowser!B72</f>
        <v>296068.88929129846</v>
      </c>
      <c r="C71" s="44">
        <f t="shared" si="43"/>
        <v>296372.17196115031</v>
      </c>
      <c r="D71" s="44">
        <f t="shared" si="44"/>
        <v>296372.17196115031</v>
      </c>
      <c r="E71" s="44">
        <f t="shared" si="45"/>
        <v>296372.17196115031</v>
      </c>
      <c r="F71" s="44">
        <f t="shared" si="46"/>
        <v>296372.17196115031</v>
      </c>
      <c r="G71" s="44">
        <f t="shared" si="47"/>
        <v>296233.58241870464</v>
      </c>
      <c r="H71" s="44">
        <f t="shared" si="48"/>
        <v>296233.58241870464</v>
      </c>
      <c r="I71" s="44">
        <f t="shared" si="49"/>
        <v>296233.58241870464</v>
      </c>
      <c r="J71" s="44">
        <f t="shared" si="50"/>
        <v>296233.58241870464</v>
      </c>
      <c r="K71" s="44">
        <f t="shared" si="51"/>
        <v>296233.58241870464</v>
      </c>
      <c r="L71" s="44">
        <f t="shared" si="52"/>
        <v>296233.58241870464</v>
      </c>
      <c r="M71" s="44">
        <f t="shared" si="53"/>
        <v>296233.58407476073</v>
      </c>
      <c r="N71" s="44">
        <f t="shared" si="54"/>
        <v>296263.88990218512</v>
      </c>
      <c r="O71" s="44">
        <f t="shared" si="55"/>
        <v>296263.88990218512</v>
      </c>
      <c r="P71" s="44">
        <f t="shared" si="56"/>
        <v>296263.88990218512</v>
      </c>
      <c r="Q71" s="44">
        <f t="shared" si="57"/>
        <v>296263.88990218512</v>
      </c>
      <c r="R71" s="44">
        <f t="shared" si="58"/>
        <v>296280.53326642653</v>
      </c>
      <c r="S71" s="44">
        <f t="shared" si="59"/>
        <v>296280.53326642653</v>
      </c>
      <c r="T71" s="44">
        <f t="shared" si="60"/>
        <v>296280.53326642653</v>
      </c>
      <c r="U71" s="44">
        <f t="shared" si="61"/>
        <v>296280.53326642653</v>
      </c>
      <c r="V71" s="44">
        <f t="shared" si="62"/>
        <v>314313.65982327913</v>
      </c>
      <c r="W71" s="44">
        <f t="shared" si="63"/>
        <v>314313.65982327913</v>
      </c>
      <c r="X71" s="44">
        <f t="shared" si="64"/>
        <v>314313.65982327913</v>
      </c>
      <c r="Y71" s="44">
        <f t="shared" si="65"/>
        <v>314313.65982327913</v>
      </c>
      <c r="Z71" s="44">
        <f t="shared" si="66"/>
        <v>314061.77368386602</v>
      </c>
      <c r="AA71" s="44">
        <f t="shared" si="67"/>
        <v>314061.77368386602</v>
      </c>
      <c r="AB71" s="44">
        <f t="shared" si="68"/>
        <v>314061.77368386602</v>
      </c>
      <c r="AC71" s="44">
        <f t="shared" si="69"/>
        <v>314061.77368386602</v>
      </c>
      <c r="AD71" s="44">
        <f t="shared" si="70"/>
        <v>314508.41202574462</v>
      </c>
      <c r="AE71" s="44">
        <f t="shared" si="71"/>
        <v>314508.41202574462</v>
      </c>
      <c r="AF71" s="44">
        <f t="shared" si="72"/>
        <v>314508.41202574462</v>
      </c>
      <c r="AG71" s="44">
        <f t="shared" si="73"/>
        <v>314508.41202574462</v>
      </c>
      <c r="AH71" s="44">
        <f t="shared" si="74"/>
        <v>314603.22123995476</v>
      </c>
      <c r="AI71" s="44">
        <f t="shared" si="75"/>
        <v>314603.22123995476</v>
      </c>
      <c r="AJ71" s="44">
        <f t="shared" si="76"/>
        <v>314603.22123995476</v>
      </c>
      <c r="AK71" s="44">
        <f t="shared" si="77"/>
        <v>314603.22123995476</v>
      </c>
      <c r="AL71" s="44">
        <f t="shared" si="78"/>
        <v>314290.30943165685</v>
      </c>
      <c r="AM71" s="44">
        <f t="shared" si="79"/>
        <v>314290.30943165685</v>
      </c>
      <c r="AN71" s="44">
        <f t="shared" si="80"/>
        <v>314290.30943165685</v>
      </c>
      <c r="AO71" s="44">
        <f t="shared" si="81"/>
        <v>314290.30943165685</v>
      </c>
      <c r="AP71" s="44">
        <f t="shared" si="82"/>
        <v>333649.77135376853</v>
      </c>
      <c r="AQ71" s="44">
        <f t="shared" si="83"/>
        <v>333649.77135376853</v>
      </c>
      <c r="AR71" s="44">
        <f t="shared" si="84"/>
        <v>333649.77135376853</v>
      </c>
      <c r="AS71" s="44">
        <f t="shared" si="85"/>
        <v>333649.77135376853</v>
      </c>
    </row>
    <row r="72" spans="1:45" x14ac:dyDescent="0.2">
      <c r="A72" s="4">
        <v>1987.2</v>
      </c>
      <c r="B72" s="44">
        <f>chainindex!AK72/chainindex!AK73*newbrowser!B73</f>
        <v>300551.86602668994</v>
      </c>
      <c r="C72" s="44">
        <f t="shared" si="43"/>
        <v>300859.74090194522</v>
      </c>
      <c r="D72" s="44">
        <f t="shared" si="44"/>
        <v>300859.74090194522</v>
      </c>
      <c r="E72" s="44">
        <f t="shared" si="45"/>
        <v>300859.74090194522</v>
      </c>
      <c r="F72" s="44">
        <f t="shared" si="46"/>
        <v>300859.74090194522</v>
      </c>
      <c r="G72" s="44">
        <f t="shared" si="47"/>
        <v>300719.05288270232</v>
      </c>
      <c r="H72" s="44">
        <f t="shared" si="48"/>
        <v>300719.05288270232</v>
      </c>
      <c r="I72" s="44">
        <f t="shared" si="49"/>
        <v>300719.05288270232</v>
      </c>
      <c r="J72" s="44">
        <f t="shared" si="50"/>
        <v>300719.05288270232</v>
      </c>
      <c r="K72" s="44">
        <f t="shared" si="51"/>
        <v>300719.05288270232</v>
      </c>
      <c r="L72" s="44">
        <f t="shared" si="52"/>
        <v>300719.05288270232</v>
      </c>
      <c r="M72" s="44">
        <f t="shared" si="53"/>
        <v>300719.05456383387</v>
      </c>
      <c r="N72" s="44">
        <f t="shared" si="54"/>
        <v>300749.81927202625</v>
      </c>
      <c r="O72" s="44">
        <f t="shared" si="55"/>
        <v>300749.81927202625</v>
      </c>
      <c r="P72" s="44">
        <f t="shared" si="56"/>
        <v>300749.81927202625</v>
      </c>
      <c r="Q72" s="44">
        <f t="shared" si="57"/>
        <v>300749.81927202625</v>
      </c>
      <c r="R72" s="44">
        <f t="shared" si="58"/>
        <v>300766.71464455826</v>
      </c>
      <c r="S72" s="44">
        <f t="shared" si="59"/>
        <v>300766.71464455826</v>
      </c>
      <c r="T72" s="44">
        <f t="shared" si="60"/>
        <v>300766.71464455826</v>
      </c>
      <c r="U72" s="44">
        <f t="shared" si="61"/>
        <v>300766.71464455826</v>
      </c>
      <c r="V72" s="44">
        <f t="shared" si="62"/>
        <v>319072.89281117049</v>
      </c>
      <c r="W72" s="44">
        <f t="shared" si="63"/>
        <v>319072.89281117049</v>
      </c>
      <c r="X72" s="44">
        <f t="shared" si="64"/>
        <v>319072.89281117049</v>
      </c>
      <c r="Y72" s="44">
        <f t="shared" si="65"/>
        <v>319072.89281117049</v>
      </c>
      <c r="Z72" s="44">
        <f t="shared" si="66"/>
        <v>318817.19269553834</v>
      </c>
      <c r="AA72" s="44">
        <f t="shared" si="67"/>
        <v>318817.19269553834</v>
      </c>
      <c r="AB72" s="44">
        <f t="shared" si="68"/>
        <v>318817.19269553834</v>
      </c>
      <c r="AC72" s="44">
        <f t="shared" si="69"/>
        <v>318817.19269553834</v>
      </c>
      <c r="AD72" s="44">
        <f t="shared" si="70"/>
        <v>319270.59388676786</v>
      </c>
      <c r="AE72" s="44">
        <f t="shared" si="71"/>
        <v>319270.59388676786</v>
      </c>
      <c r="AF72" s="44">
        <f t="shared" si="72"/>
        <v>319270.59388676786</v>
      </c>
      <c r="AG72" s="44">
        <f t="shared" si="73"/>
        <v>319270.59388676786</v>
      </c>
      <c r="AH72" s="44">
        <f t="shared" si="74"/>
        <v>319366.83867059369</v>
      </c>
      <c r="AI72" s="44">
        <f t="shared" si="75"/>
        <v>319366.83867059369</v>
      </c>
      <c r="AJ72" s="44">
        <f t="shared" si="76"/>
        <v>319366.83867059369</v>
      </c>
      <c r="AK72" s="44">
        <f t="shared" si="77"/>
        <v>319366.83867059369</v>
      </c>
      <c r="AL72" s="44">
        <f t="shared" si="78"/>
        <v>319049.18885567784</v>
      </c>
      <c r="AM72" s="44">
        <f t="shared" si="79"/>
        <v>319049.18885567784</v>
      </c>
      <c r="AN72" s="44">
        <f t="shared" si="80"/>
        <v>319049.18885567784</v>
      </c>
      <c r="AO72" s="44">
        <f t="shared" si="81"/>
        <v>319049.18885567784</v>
      </c>
      <c r="AP72" s="44">
        <f t="shared" si="82"/>
        <v>338701.78531689721</v>
      </c>
      <c r="AQ72" s="44">
        <f t="shared" si="83"/>
        <v>338701.78531689721</v>
      </c>
      <c r="AR72" s="44">
        <f t="shared" si="84"/>
        <v>338701.78531689721</v>
      </c>
      <c r="AS72" s="44">
        <f t="shared" si="85"/>
        <v>338701.78531689721</v>
      </c>
    </row>
    <row r="73" spans="1:45" x14ac:dyDescent="0.2">
      <c r="A73" s="4">
        <v>1987.3</v>
      </c>
      <c r="B73" s="44">
        <f>chainindex!AK73/chainindex!AK74*newbrowser!B74</f>
        <v>301419.07759354205</v>
      </c>
      <c r="C73" s="44">
        <f t="shared" si="43"/>
        <v>301727.84081015579</v>
      </c>
      <c r="D73" s="44">
        <f t="shared" si="44"/>
        <v>301727.84081015579</v>
      </c>
      <c r="E73" s="44">
        <f t="shared" si="45"/>
        <v>301727.84081015579</v>
      </c>
      <c r="F73" s="44">
        <f t="shared" si="46"/>
        <v>301727.84081015579</v>
      </c>
      <c r="G73" s="44">
        <f t="shared" si="47"/>
        <v>301586.74685007072</v>
      </c>
      <c r="H73" s="44">
        <f t="shared" si="48"/>
        <v>301586.74685007072</v>
      </c>
      <c r="I73" s="44">
        <f t="shared" si="49"/>
        <v>301586.74685007072</v>
      </c>
      <c r="J73" s="44">
        <f t="shared" si="50"/>
        <v>301586.74685007072</v>
      </c>
      <c r="K73" s="44">
        <f t="shared" si="51"/>
        <v>301586.74685007072</v>
      </c>
      <c r="L73" s="44">
        <f t="shared" si="52"/>
        <v>301586.74685007072</v>
      </c>
      <c r="M73" s="44">
        <f t="shared" si="53"/>
        <v>301586.748536053</v>
      </c>
      <c r="N73" s="44">
        <f t="shared" si="54"/>
        <v>301617.60201265384</v>
      </c>
      <c r="O73" s="44">
        <f t="shared" si="55"/>
        <v>301617.60201265384</v>
      </c>
      <c r="P73" s="44">
        <f t="shared" si="56"/>
        <v>301617.60201265384</v>
      </c>
      <c r="Q73" s="44">
        <f t="shared" si="57"/>
        <v>301617.60201265384</v>
      </c>
      <c r="R73" s="44">
        <f t="shared" si="58"/>
        <v>301634.54613504949</v>
      </c>
      <c r="S73" s="44">
        <f t="shared" si="59"/>
        <v>301634.54613504949</v>
      </c>
      <c r="T73" s="44">
        <f t="shared" si="60"/>
        <v>301634.54613504949</v>
      </c>
      <c r="U73" s="44">
        <f t="shared" si="61"/>
        <v>301634.54613504949</v>
      </c>
      <c r="V73" s="44">
        <f t="shared" si="62"/>
        <v>319993.54490018543</v>
      </c>
      <c r="W73" s="44">
        <f t="shared" si="63"/>
        <v>319993.54490018543</v>
      </c>
      <c r="X73" s="44">
        <f t="shared" si="64"/>
        <v>319993.54490018543</v>
      </c>
      <c r="Y73" s="44">
        <f t="shared" si="65"/>
        <v>319993.54490018543</v>
      </c>
      <c r="Z73" s="44">
        <f t="shared" si="66"/>
        <v>319737.10698810947</v>
      </c>
      <c r="AA73" s="44">
        <f t="shared" si="67"/>
        <v>319737.10698810947</v>
      </c>
      <c r="AB73" s="44">
        <f t="shared" si="68"/>
        <v>319737.10698810947</v>
      </c>
      <c r="AC73" s="44">
        <f t="shared" si="69"/>
        <v>319737.10698810947</v>
      </c>
      <c r="AD73" s="44">
        <f t="shared" si="70"/>
        <v>320191.81642194837</v>
      </c>
      <c r="AE73" s="44">
        <f t="shared" si="71"/>
        <v>320191.81642194837</v>
      </c>
      <c r="AF73" s="44">
        <f t="shared" si="72"/>
        <v>320191.81642194837</v>
      </c>
      <c r="AG73" s="44">
        <f t="shared" si="73"/>
        <v>320191.81642194837</v>
      </c>
      <c r="AH73" s="44">
        <f t="shared" si="74"/>
        <v>320288.3389102213</v>
      </c>
      <c r="AI73" s="44">
        <f t="shared" si="75"/>
        <v>320288.3389102213</v>
      </c>
      <c r="AJ73" s="44">
        <f t="shared" si="76"/>
        <v>320288.3389102213</v>
      </c>
      <c r="AK73" s="44">
        <f t="shared" si="77"/>
        <v>320288.3389102213</v>
      </c>
      <c r="AL73" s="44">
        <f t="shared" si="78"/>
        <v>319969.77254936163</v>
      </c>
      <c r="AM73" s="44">
        <f t="shared" si="79"/>
        <v>319969.77254936163</v>
      </c>
      <c r="AN73" s="44">
        <f t="shared" si="80"/>
        <v>319969.77254936163</v>
      </c>
      <c r="AO73" s="44">
        <f t="shared" si="81"/>
        <v>319969.77254936163</v>
      </c>
      <c r="AP73" s="44">
        <f t="shared" si="82"/>
        <v>339679.07456092461</v>
      </c>
      <c r="AQ73" s="44">
        <f t="shared" si="83"/>
        <v>339679.07456092461</v>
      </c>
      <c r="AR73" s="44">
        <f t="shared" si="84"/>
        <v>339679.07456092461</v>
      </c>
      <c r="AS73" s="44">
        <f t="shared" si="85"/>
        <v>339679.07456092461</v>
      </c>
    </row>
    <row r="74" spans="1:45" x14ac:dyDescent="0.2">
      <c r="A74" s="4">
        <v>1987.4</v>
      </c>
      <c r="B74" s="44">
        <f>chainindex!AK74/chainindex!AK75*newbrowser!B75</f>
        <v>304662.99492382095</v>
      </c>
      <c r="C74" s="44">
        <f t="shared" si="43"/>
        <v>304975.08109649085</v>
      </c>
      <c r="D74" s="44">
        <f t="shared" si="44"/>
        <v>304975.08109649085</v>
      </c>
      <c r="E74" s="44">
        <f t="shared" si="45"/>
        <v>304975.08109649085</v>
      </c>
      <c r="F74" s="44">
        <f t="shared" si="46"/>
        <v>304975.08109649085</v>
      </c>
      <c r="G74" s="44">
        <f t="shared" si="47"/>
        <v>304832.46866204118</v>
      </c>
      <c r="H74" s="44">
        <f t="shared" si="48"/>
        <v>304832.46866204118</v>
      </c>
      <c r="I74" s="44">
        <f t="shared" si="49"/>
        <v>304832.46866204118</v>
      </c>
      <c r="J74" s="44">
        <f t="shared" si="50"/>
        <v>304832.46866204118</v>
      </c>
      <c r="K74" s="44">
        <f t="shared" si="51"/>
        <v>304832.46866204118</v>
      </c>
      <c r="L74" s="44">
        <f t="shared" si="52"/>
        <v>304832.46866204118</v>
      </c>
      <c r="M74" s="44">
        <f t="shared" si="53"/>
        <v>304832.47036616824</v>
      </c>
      <c r="N74" s="44">
        <f t="shared" si="54"/>
        <v>304863.6558925127</v>
      </c>
      <c r="O74" s="44">
        <f t="shared" si="55"/>
        <v>304863.6558925127</v>
      </c>
      <c r="P74" s="44">
        <f t="shared" si="56"/>
        <v>304863.6558925127</v>
      </c>
      <c r="Q74" s="44">
        <f t="shared" si="57"/>
        <v>304863.6558925127</v>
      </c>
      <c r="R74" s="44">
        <f t="shared" si="58"/>
        <v>304880.78237009543</v>
      </c>
      <c r="S74" s="44">
        <f t="shared" si="59"/>
        <v>304880.78237009543</v>
      </c>
      <c r="T74" s="44">
        <f t="shared" si="60"/>
        <v>304880.78237009543</v>
      </c>
      <c r="U74" s="44">
        <f t="shared" si="61"/>
        <v>304880.78237009543</v>
      </c>
      <c r="V74" s="44">
        <f t="shared" si="62"/>
        <v>323437.36343405687</v>
      </c>
      <c r="W74" s="44">
        <f t="shared" si="63"/>
        <v>323437.36343405687</v>
      </c>
      <c r="X74" s="44">
        <f t="shared" si="64"/>
        <v>323437.36343405687</v>
      </c>
      <c r="Y74" s="44">
        <f t="shared" si="65"/>
        <v>323437.36343405687</v>
      </c>
      <c r="Z74" s="44">
        <f t="shared" si="66"/>
        <v>323178.16569870175</v>
      </c>
      <c r="AA74" s="44">
        <f t="shared" si="67"/>
        <v>323178.16569870175</v>
      </c>
      <c r="AB74" s="44">
        <f t="shared" si="68"/>
        <v>323178.16569870175</v>
      </c>
      <c r="AC74" s="44">
        <f t="shared" si="69"/>
        <v>323178.16569870175</v>
      </c>
      <c r="AD74" s="44">
        <f t="shared" si="70"/>
        <v>323637.76878368063</v>
      </c>
      <c r="AE74" s="44">
        <f t="shared" si="71"/>
        <v>323637.76878368063</v>
      </c>
      <c r="AF74" s="44">
        <f t="shared" si="72"/>
        <v>323637.76878368063</v>
      </c>
      <c r="AG74" s="44">
        <f t="shared" si="73"/>
        <v>323637.76878368063</v>
      </c>
      <c r="AH74" s="44">
        <f t="shared" si="74"/>
        <v>323735.33006145211</v>
      </c>
      <c r="AI74" s="44">
        <f t="shared" si="75"/>
        <v>323735.33006145211</v>
      </c>
      <c r="AJ74" s="44">
        <f t="shared" si="76"/>
        <v>323735.33006145211</v>
      </c>
      <c r="AK74" s="44">
        <f t="shared" si="77"/>
        <v>323735.33006145211</v>
      </c>
      <c r="AL74" s="44">
        <f t="shared" si="78"/>
        <v>323413.33524162736</v>
      </c>
      <c r="AM74" s="44">
        <f t="shared" si="79"/>
        <v>323413.33524162736</v>
      </c>
      <c r="AN74" s="44">
        <f t="shared" si="80"/>
        <v>323413.33524162736</v>
      </c>
      <c r="AO74" s="44">
        <f t="shared" si="81"/>
        <v>323413.33524162736</v>
      </c>
      <c r="AP74" s="44">
        <f t="shared" si="82"/>
        <v>343334.7517181189</v>
      </c>
      <c r="AQ74" s="44">
        <f t="shared" si="83"/>
        <v>343334.7517181189</v>
      </c>
      <c r="AR74" s="44">
        <f t="shared" si="84"/>
        <v>343334.7517181189</v>
      </c>
      <c r="AS74" s="44">
        <f t="shared" si="85"/>
        <v>343334.7517181189</v>
      </c>
    </row>
    <row r="75" spans="1:45" x14ac:dyDescent="0.2">
      <c r="A75" s="4">
        <v>1988.1</v>
      </c>
      <c r="B75" s="44">
        <f>chainindex!AK75/chainindex!AK76*newbrowser!B76</f>
        <v>309145.97165921237</v>
      </c>
      <c r="C75" s="44">
        <f t="shared" si="43"/>
        <v>309462.6500372857</v>
      </c>
      <c r="D75" s="44">
        <f t="shared" si="44"/>
        <v>309462.6500372857</v>
      </c>
      <c r="E75" s="44">
        <f t="shared" si="45"/>
        <v>309462.6500372857</v>
      </c>
      <c r="F75" s="44">
        <f t="shared" si="46"/>
        <v>309462.6500372857</v>
      </c>
      <c r="G75" s="44">
        <f t="shared" si="47"/>
        <v>309317.93912603887</v>
      </c>
      <c r="H75" s="44">
        <f t="shared" si="48"/>
        <v>309317.93912603887</v>
      </c>
      <c r="I75" s="44">
        <f t="shared" si="49"/>
        <v>309317.93912603887</v>
      </c>
      <c r="J75" s="44">
        <f t="shared" si="50"/>
        <v>309317.93912603887</v>
      </c>
      <c r="K75" s="44">
        <f t="shared" si="51"/>
        <v>309317.93912603887</v>
      </c>
      <c r="L75" s="44">
        <f t="shared" si="52"/>
        <v>309317.93912603887</v>
      </c>
      <c r="M75" s="44">
        <f t="shared" si="53"/>
        <v>309317.94085524138</v>
      </c>
      <c r="N75" s="44">
        <f t="shared" si="54"/>
        <v>309349.58526235382</v>
      </c>
      <c r="O75" s="44">
        <f t="shared" si="55"/>
        <v>309349.58526235382</v>
      </c>
      <c r="P75" s="44">
        <f t="shared" si="56"/>
        <v>309349.58526235382</v>
      </c>
      <c r="Q75" s="44">
        <f t="shared" si="57"/>
        <v>309349.58526235382</v>
      </c>
      <c r="R75" s="44">
        <f t="shared" si="58"/>
        <v>309366.96374822716</v>
      </c>
      <c r="S75" s="44">
        <f t="shared" si="59"/>
        <v>309366.96374822716</v>
      </c>
      <c r="T75" s="44">
        <f t="shared" si="60"/>
        <v>309366.96374822716</v>
      </c>
      <c r="U75" s="44">
        <f t="shared" si="61"/>
        <v>309366.96374822716</v>
      </c>
      <c r="V75" s="44">
        <f t="shared" si="62"/>
        <v>328196.59642194823</v>
      </c>
      <c r="W75" s="44">
        <f t="shared" si="63"/>
        <v>328196.59642194823</v>
      </c>
      <c r="X75" s="44">
        <f t="shared" si="64"/>
        <v>328196.59642194823</v>
      </c>
      <c r="Y75" s="44">
        <f t="shared" si="65"/>
        <v>328196.59642194823</v>
      </c>
      <c r="Z75" s="44">
        <f t="shared" si="66"/>
        <v>327933.58471037407</v>
      </c>
      <c r="AA75" s="44">
        <f t="shared" si="67"/>
        <v>327933.58471037407</v>
      </c>
      <c r="AB75" s="44">
        <f t="shared" si="68"/>
        <v>327933.58471037407</v>
      </c>
      <c r="AC75" s="44">
        <f t="shared" si="69"/>
        <v>327933.58471037407</v>
      </c>
      <c r="AD75" s="44">
        <f t="shared" si="70"/>
        <v>328399.95064470387</v>
      </c>
      <c r="AE75" s="44">
        <f t="shared" si="71"/>
        <v>328399.95064470387</v>
      </c>
      <c r="AF75" s="44">
        <f t="shared" si="72"/>
        <v>328399.95064470387</v>
      </c>
      <c r="AG75" s="44">
        <f t="shared" si="73"/>
        <v>328399.95064470387</v>
      </c>
      <c r="AH75" s="44">
        <f t="shared" si="74"/>
        <v>328498.94749209104</v>
      </c>
      <c r="AI75" s="44">
        <f t="shared" si="75"/>
        <v>328498.94749209104</v>
      </c>
      <c r="AJ75" s="44">
        <f t="shared" si="76"/>
        <v>328498.94749209104</v>
      </c>
      <c r="AK75" s="44">
        <f t="shared" si="77"/>
        <v>328498.94749209104</v>
      </c>
      <c r="AL75" s="44">
        <f t="shared" si="78"/>
        <v>328172.21466564835</v>
      </c>
      <c r="AM75" s="44">
        <f t="shared" si="79"/>
        <v>328172.21466564835</v>
      </c>
      <c r="AN75" s="44">
        <f t="shared" si="80"/>
        <v>328172.21466564835</v>
      </c>
      <c r="AO75" s="44">
        <f t="shared" si="81"/>
        <v>328172.21466564835</v>
      </c>
      <c r="AP75" s="44">
        <f t="shared" si="82"/>
        <v>348386.76568124758</v>
      </c>
      <c r="AQ75" s="44">
        <f t="shared" si="83"/>
        <v>348386.76568124758</v>
      </c>
      <c r="AR75" s="44">
        <f t="shared" si="84"/>
        <v>348386.76568124758</v>
      </c>
      <c r="AS75" s="44">
        <f t="shared" si="85"/>
        <v>348386.76568124758</v>
      </c>
    </row>
    <row r="76" spans="1:45" x14ac:dyDescent="0.2">
      <c r="A76" s="4">
        <v>1988.2</v>
      </c>
      <c r="B76" s="44">
        <f>chainindex!AK76/chainindex!AK77*newbrowser!B77</f>
        <v>311110.52439911279</v>
      </c>
      <c r="C76" s="44">
        <f t="shared" si="43"/>
        <v>311429.21519666543</v>
      </c>
      <c r="D76" s="44">
        <f t="shared" si="44"/>
        <v>311429.21519666543</v>
      </c>
      <c r="E76" s="44">
        <f t="shared" si="45"/>
        <v>311429.21519666543</v>
      </c>
      <c r="F76" s="44">
        <f t="shared" si="46"/>
        <v>311429.21519666543</v>
      </c>
      <c r="G76" s="44">
        <f t="shared" si="47"/>
        <v>311283.58468030242</v>
      </c>
      <c r="H76" s="44">
        <f t="shared" si="48"/>
        <v>311283.58468030242</v>
      </c>
      <c r="I76" s="44">
        <f t="shared" si="49"/>
        <v>311283.58468030242</v>
      </c>
      <c r="J76" s="44">
        <f t="shared" si="50"/>
        <v>311283.58468030242</v>
      </c>
      <c r="K76" s="44">
        <f t="shared" si="51"/>
        <v>311283.58468030242</v>
      </c>
      <c r="L76" s="44">
        <f t="shared" si="52"/>
        <v>311283.58468030242</v>
      </c>
      <c r="M76" s="44">
        <f t="shared" si="53"/>
        <v>311283.58642049361</v>
      </c>
      <c r="N76" s="44">
        <f t="shared" si="54"/>
        <v>311315.43192065723</v>
      </c>
      <c r="O76" s="44">
        <f t="shared" si="55"/>
        <v>311315.43192065723</v>
      </c>
      <c r="P76" s="44">
        <f t="shared" si="56"/>
        <v>311315.43192065723</v>
      </c>
      <c r="Q76" s="44">
        <f t="shared" si="57"/>
        <v>311315.43192065723</v>
      </c>
      <c r="R76" s="44">
        <f t="shared" si="58"/>
        <v>311332.92084287835</v>
      </c>
      <c r="S76" s="44">
        <f t="shared" si="59"/>
        <v>311332.92084287835</v>
      </c>
      <c r="T76" s="44">
        <f t="shared" si="60"/>
        <v>311332.92084287835</v>
      </c>
      <c r="U76" s="44">
        <f t="shared" si="61"/>
        <v>311332.92084287835</v>
      </c>
      <c r="V76" s="44">
        <f t="shared" si="62"/>
        <v>330282.21157412458</v>
      </c>
      <c r="W76" s="44">
        <f t="shared" si="63"/>
        <v>330282.21157412458</v>
      </c>
      <c r="X76" s="44">
        <f t="shared" si="64"/>
        <v>330282.21157412458</v>
      </c>
      <c r="Y76" s="44">
        <f t="shared" si="65"/>
        <v>330282.21157412458</v>
      </c>
      <c r="Z76" s="44">
        <f t="shared" si="66"/>
        <v>330017.52848260058</v>
      </c>
      <c r="AA76" s="44">
        <f t="shared" si="67"/>
        <v>330017.52848260058</v>
      </c>
      <c r="AB76" s="44">
        <f t="shared" si="68"/>
        <v>330017.52848260058</v>
      </c>
      <c r="AC76" s="44">
        <f t="shared" si="69"/>
        <v>330017.52848260058</v>
      </c>
      <c r="AD76" s="44">
        <f t="shared" si="70"/>
        <v>330486.85806697945</v>
      </c>
      <c r="AE76" s="44">
        <f t="shared" si="71"/>
        <v>330486.85806697945</v>
      </c>
      <c r="AF76" s="44">
        <f t="shared" si="72"/>
        <v>330486.85806697945</v>
      </c>
      <c r="AG76" s="44">
        <f t="shared" si="73"/>
        <v>330486.85806697945</v>
      </c>
      <c r="AH76" s="44">
        <f t="shared" si="74"/>
        <v>330586.48401694471</v>
      </c>
      <c r="AI76" s="44">
        <f t="shared" si="75"/>
        <v>330586.48401694471</v>
      </c>
      <c r="AJ76" s="44">
        <f t="shared" si="76"/>
        <v>330586.48401694471</v>
      </c>
      <c r="AK76" s="44">
        <f t="shared" si="77"/>
        <v>330586.48401694471</v>
      </c>
      <c r="AL76" s="44">
        <f t="shared" si="78"/>
        <v>330257.67487727705</v>
      </c>
      <c r="AM76" s="44">
        <f t="shared" si="79"/>
        <v>330257.67487727705</v>
      </c>
      <c r="AN76" s="44">
        <f t="shared" si="80"/>
        <v>330257.67487727705</v>
      </c>
      <c r="AO76" s="44">
        <f t="shared" si="81"/>
        <v>330257.67487727705</v>
      </c>
      <c r="AP76" s="44">
        <f t="shared" si="82"/>
        <v>350600.68479327991</v>
      </c>
      <c r="AQ76" s="44">
        <f t="shared" si="83"/>
        <v>350600.68479327991</v>
      </c>
      <c r="AR76" s="44">
        <f t="shared" si="84"/>
        <v>350600.68479327991</v>
      </c>
      <c r="AS76" s="44">
        <f t="shared" si="85"/>
        <v>350600.68479327991</v>
      </c>
    </row>
    <row r="77" spans="1:45" x14ac:dyDescent="0.2">
      <c r="A77" s="4">
        <v>1988.3</v>
      </c>
      <c r="B77" s="44">
        <f>chainindex!AK77/chainindex!AK78*newbrowser!B78</f>
        <v>315198.2502854442</v>
      </c>
      <c r="C77" s="44">
        <f t="shared" si="43"/>
        <v>315521.12840718142</v>
      </c>
      <c r="D77" s="44">
        <f t="shared" si="44"/>
        <v>315521.12840718142</v>
      </c>
      <c r="E77" s="44">
        <f t="shared" si="45"/>
        <v>315521.12840718142</v>
      </c>
      <c r="F77" s="44">
        <f t="shared" si="46"/>
        <v>315521.12840718142</v>
      </c>
      <c r="G77" s="44">
        <f t="shared" si="47"/>
        <v>315373.58443053695</v>
      </c>
      <c r="H77" s="44">
        <f t="shared" si="48"/>
        <v>315373.58443053695</v>
      </c>
      <c r="I77" s="44">
        <f t="shared" si="49"/>
        <v>315373.58443053695</v>
      </c>
      <c r="J77" s="44">
        <f t="shared" si="50"/>
        <v>315373.58443053695</v>
      </c>
      <c r="K77" s="44">
        <f t="shared" si="51"/>
        <v>315373.58443053695</v>
      </c>
      <c r="L77" s="44">
        <f t="shared" si="52"/>
        <v>315373.58443053695</v>
      </c>
      <c r="M77" s="44">
        <f t="shared" si="53"/>
        <v>315373.58619359275</v>
      </c>
      <c r="N77" s="44">
        <f t="shared" si="54"/>
        <v>315405.85011635919</v>
      </c>
      <c r="O77" s="44">
        <f t="shared" si="55"/>
        <v>315405.85011635919</v>
      </c>
      <c r="P77" s="44">
        <f t="shared" si="56"/>
        <v>315405.85011635919</v>
      </c>
      <c r="Q77" s="44">
        <f t="shared" si="57"/>
        <v>315405.85011635919</v>
      </c>
      <c r="R77" s="44">
        <f t="shared" si="58"/>
        <v>315423.56882804254</v>
      </c>
      <c r="S77" s="44">
        <f t="shared" si="59"/>
        <v>315423.56882804254</v>
      </c>
      <c r="T77" s="44">
        <f t="shared" si="60"/>
        <v>315423.56882804254</v>
      </c>
      <c r="U77" s="44">
        <f t="shared" si="61"/>
        <v>315423.56882804254</v>
      </c>
      <c r="V77" s="44">
        <f t="shared" si="62"/>
        <v>334621.83701319952</v>
      </c>
      <c r="W77" s="44">
        <f t="shared" si="63"/>
        <v>334621.83701319952</v>
      </c>
      <c r="X77" s="44">
        <f t="shared" si="64"/>
        <v>334621.83701319952</v>
      </c>
      <c r="Y77" s="44">
        <f t="shared" si="65"/>
        <v>334621.83701319952</v>
      </c>
      <c r="Z77" s="44">
        <f t="shared" si="66"/>
        <v>334353.6762125013</v>
      </c>
      <c r="AA77" s="44">
        <f t="shared" si="67"/>
        <v>334353.6762125013</v>
      </c>
      <c r="AB77" s="44">
        <f t="shared" si="68"/>
        <v>334353.6762125013</v>
      </c>
      <c r="AC77" s="44">
        <f t="shared" si="69"/>
        <v>334353.6762125013</v>
      </c>
      <c r="AD77" s="44">
        <f t="shared" si="70"/>
        <v>334829.17238573148</v>
      </c>
      <c r="AE77" s="44">
        <f t="shared" si="71"/>
        <v>334829.17238573148</v>
      </c>
      <c r="AF77" s="44">
        <f t="shared" si="72"/>
        <v>334829.17238573148</v>
      </c>
      <c r="AG77" s="44">
        <f t="shared" si="73"/>
        <v>334829.17238573148</v>
      </c>
      <c r="AH77" s="44">
        <f t="shared" si="74"/>
        <v>334930.10733536951</v>
      </c>
      <c r="AI77" s="44">
        <f t="shared" si="75"/>
        <v>334930.10733536951</v>
      </c>
      <c r="AJ77" s="44">
        <f t="shared" si="76"/>
        <v>334930.10733536951</v>
      </c>
      <c r="AK77" s="44">
        <f t="shared" si="77"/>
        <v>334930.10733536951</v>
      </c>
      <c r="AL77" s="44">
        <f t="shared" si="78"/>
        <v>334596.9779251662</v>
      </c>
      <c r="AM77" s="44">
        <f t="shared" si="79"/>
        <v>334596.9779251662</v>
      </c>
      <c r="AN77" s="44">
        <f t="shared" si="80"/>
        <v>334596.9779251662</v>
      </c>
      <c r="AO77" s="44">
        <f t="shared" si="81"/>
        <v>334596.9779251662</v>
      </c>
      <c r="AP77" s="44">
        <f t="shared" si="82"/>
        <v>355207.27757172426</v>
      </c>
      <c r="AQ77" s="44">
        <f t="shared" si="83"/>
        <v>355207.27757172426</v>
      </c>
      <c r="AR77" s="44">
        <f t="shared" si="84"/>
        <v>355207.27757172426</v>
      </c>
      <c r="AS77" s="44">
        <f t="shared" si="85"/>
        <v>355207.27757172426</v>
      </c>
    </row>
    <row r="78" spans="1:45" x14ac:dyDescent="0.2">
      <c r="A78" s="4">
        <v>1988.4</v>
      </c>
      <c r="B78" s="44">
        <f>chainindex!AK78/chainindex!AK79*newbrowser!B79</f>
        <v>318960.93435511435</v>
      </c>
      <c r="C78" s="44">
        <f t="shared" si="43"/>
        <v>319287.66683950747</v>
      </c>
      <c r="D78" s="44">
        <f t="shared" si="44"/>
        <v>319287.66683950747</v>
      </c>
      <c r="E78" s="44">
        <f t="shared" si="45"/>
        <v>319287.66683950747</v>
      </c>
      <c r="F78" s="44">
        <f t="shared" si="46"/>
        <v>319287.66683950747</v>
      </c>
      <c r="G78" s="44">
        <f t="shared" si="47"/>
        <v>319138.36155432148</v>
      </c>
      <c r="H78" s="44">
        <f t="shared" si="48"/>
        <v>319138.36155432148</v>
      </c>
      <c r="I78" s="44">
        <f t="shared" si="49"/>
        <v>319138.36155432148</v>
      </c>
      <c r="J78" s="44">
        <f t="shared" si="50"/>
        <v>319138.36155432148</v>
      </c>
      <c r="K78" s="44">
        <f t="shared" si="51"/>
        <v>319138.36155432148</v>
      </c>
      <c r="L78" s="44">
        <f t="shared" si="52"/>
        <v>319138.36155432148</v>
      </c>
      <c r="M78" s="44">
        <f t="shared" si="53"/>
        <v>319138.36333842378</v>
      </c>
      <c r="N78" s="44">
        <f t="shared" si="54"/>
        <v>319171.01241227565</v>
      </c>
      <c r="O78" s="44">
        <f t="shared" si="55"/>
        <v>319171.01241227565</v>
      </c>
      <c r="P78" s="44">
        <f t="shared" si="56"/>
        <v>319171.01241227565</v>
      </c>
      <c r="Q78" s="44">
        <f t="shared" si="57"/>
        <v>319171.01241227565</v>
      </c>
      <c r="R78" s="44">
        <f t="shared" si="58"/>
        <v>319188.94264135836</v>
      </c>
      <c r="S78" s="44">
        <f t="shared" si="59"/>
        <v>319188.94264135836</v>
      </c>
      <c r="T78" s="44">
        <f t="shared" si="60"/>
        <v>319188.94264135836</v>
      </c>
      <c r="U78" s="44">
        <f t="shared" si="61"/>
        <v>319188.94264135836</v>
      </c>
      <c r="V78" s="44">
        <f t="shared" si="62"/>
        <v>338616.39045489248</v>
      </c>
      <c r="W78" s="44">
        <f t="shared" si="63"/>
        <v>338616.39045489248</v>
      </c>
      <c r="X78" s="44">
        <f t="shared" si="64"/>
        <v>338616.39045489248</v>
      </c>
      <c r="Y78" s="44">
        <f t="shared" si="65"/>
        <v>338616.39045489248</v>
      </c>
      <c r="Z78" s="44">
        <f t="shared" si="66"/>
        <v>338345.02848041878</v>
      </c>
      <c r="AA78" s="44">
        <f t="shared" si="67"/>
        <v>338345.02848041878</v>
      </c>
      <c r="AB78" s="44">
        <f t="shared" si="68"/>
        <v>338345.02848041878</v>
      </c>
      <c r="AC78" s="44">
        <f t="shared" si="69"/>
        <v>338345.02848041878</v>
      </c>
      <c r="AD78" s="44">
        <f t="shared" si="70"/>
        <v>338826.20089669467</v>
      </c>
      <c r="AE78" s="44">
        <f t="shared" si="71"/>
        <v>338826.20089669467</v>
      </c>
      <c r="AF78" s="44">
        <f t="shared" si="72"/>
        <v>338826.20089669467</v>
      </c>
      <c r="AG78" s="44">
        <f t="shared" si="73"/>
        <v>338826.20089669467</v>
      </c>
      <c r="AH78" s="44">
        <f t="shared" si="74"/>
        <v>338928.34075888136</v>
      </c>
      <c r="AI78" s="44">
        <f t="shared" si="75"/>
        <v>338928.34075888136</v>
      </c>
      <c r="AJ78" s="44">
        <f t="shared" si="76"/>
        <v>338928.34075888136</v>
      </c>
      <c r="AK78" s="44">
        <f t="shared" si="77"/>
        <v>338928.34075888136</v>
      </c>
      <c r="AL78" s="44">
        <f t="shared" si="78"/>
        <v>338591.23461110488</v>
      </c>
      <c r="AM78" s="44">
        <f t="shared" si="79"/>
        <v>338591.23461110488</v>
      </c>
      <c r="AN78" s="44">
        <f t="shared" si="80"/>
        <v>338591.23461110488</v>
      </c>
      <c r="AO78" s="44">
        <f t="shared" si="81"/>
        <v>338591.23461110488</v>
      </c>
      <c r="AP78" s="44">
        <f t="shared" si="82"/>
        <v>359447.57003381656</v>
      </c>
      <c r="AQ78" s="44">
        <f t="shared" si="83"/>
        <v>359447.57003381656</v>
      </c>
      <c r="AR78" s="44">
        <f t="shared" si="84"/>
        <v>359447.57003381656</v>
      </c>
      <c r="AS78" s="44">
        <f t="shared" si="85"/>
        <v>359447.57003381656</v>
      </c>
    </row>
    <row r="79" spans="1:45" x14ac:dyDescent="0.2">
      <c r="A79" s="4">
        <v>1989.1</v>
      </c>
      <c r="B79" s="44">
        <f>chainindex!AK79/chainindex!AK80*newbrowser!B80</f>
        <v>320942.38926948106</v>
      </c>
      <c r="C79" s="44">
        <f t="shared" si="43"/>
        <v>321271.15148735297</v>
      </c>
      <c r="D79" s="44">
        <f t="shared" si="44"/>
        <v>321271.15148735297</v>
      </c>
      <c r="E79" s="44">
        <f t="shared" si="45"/>
        <v>321271.15148735297</v>
      </c>
      <c r="F79" s="44">
        <f t="shared" si="46"/>
        <v>321271.15148735297</v>
      </c>
      <c r="G79" s="44">
        <f t="shared" si="47"/>
        <v>321120.91868516034</v>
      </c>
      <c r="H79" s="44">
        <f t="shared" si="48"/>
        <v>321120.91868516034</v>
      </c>
      <c r="I79" s="44">
        <f t="shared" si="49"/>
        <v>321120.91868516034</v>
      </c>
      <c r="J79" s="44">
        <f t="shared" si="50"/>
        <v>321120.91868516034</v>
      </c>
      <c r="K79" s="44">
        <f t="shared" si="51"/>
        <v>321120.91868516034</v>
      </c>
      <c r="L79" s="44">
        <f t="shared" si="52"/>
        <v>321120.91868516034</v>
      </c>
      <c r="M79" s="44">
        <f t="shared" si="53"/>
        <v>321120.9204803459</v>
      </c>
      <c r="N79" s="44">
        <f t="shared" si="54"/>
        <v>321153.77237736783</v>
      </c>
      <c r="O79" s="44">
        <f t="shared" si="55"/>
        <v>321153.77237736783</v>
      </c>
      <c r="P79" s="44">
        <f t="shared" si="56"/>
        <v>321153.77237736783</v>
      </c>
      <c r="Q79" s="44">
        <f t="shared" si="57"/>
        <v>321153.77237736783</v>
      </c>
      <c r="R79" s="44">
        <f t="shared" si="58"/>
        <v>321171.81399294554</v>
      </c>
      <c r="S79" s="44">
        <f t="shared" si="59"/>
        <v>321171.81399294554</v>
      </c>
      <c r="T79" s="44">
        <f t="shared" si="60"/>
        <v>321171.81399294554</v>
      </c>
      <c r="U79" s="44">
        <f t="shared" si="61"/>
        <v>321171.81399294554</v>
      </c>
      <c r="V79" s="44">
        <f t="shared" si="62"/>
        <v>340719.94935093255</v>
      </c>
      <c r="W79" s="44">
        <f t="shared" si="63"/>
        <v>340719.94935093255</v>
      </c>
      <c r="X79" s="44">
        <f t="shared" si="64"/>
        <v>340719.94935093255</v>
      </c>
      <c r="Y79" s="44">
        <f t="shared" si="65"/>
        <v>340719.94935093255</v>
      </c>
      <c r="Z79" s="44">
        <f t="shared" si="66"/>
        <v>340446.90161666833</v>
      </c>
      <c r="AA79" s="44">
        <f t="shared" si="67"/>
        <v>340446.90161666833</v>
      </c>
      <c r="AB79" s="44">
        <f t="shared" si="68"/>
        <v>340446.90161666833</v>
      </c>
      <c r="AC79" s="44">
        <f t="shared" si="69"/>
        <v>340446.90161666833</v>
      </c>
      <c r="AD79" s="44">
        <f t="shared" si="70"/>
        <v>340931.06318097521</v>
      </c>
      <c r="AE79" s="44">
        <f t="shared" si="71"/>
        <v>340931.06318097521</v>
      </c>
      <c r="AF79" s="44">
        <f t="shared" si="72"/>
        <v>340931.06318097521</v>
      </c>
      <c r="AG79" s="44">
        <f t="shared" si="73"/>
        <v>340931.06318097521</v>
      </c>
      <c r="AH79" s="44">
        <f t="shared" si="74"/>
        <v>341033.83755827043</v>
      </c>
      <c r="AI79" s="44">
        <f t="shared" si="75"/>
        <v>341033.83755827043</v>
      </c>
      <c r="AJ79" s="44">
        <f t="shared" si="76"/>
        <v>341033.83755827043</v>
      </c>
      <c r="AK79" s="44">
        <f t="shared" si="77"/>
        <v>341033.83755827043</v>
      </c>
      <c r="AL79" s="44">
        <f t="shared" si="78"/>
        <v>340694.63723355491</v>
      </c>
      <c r="AM79" s="44">
        <f t="shared" si="79"/>
        <v>340694.63723355491</v>
      </c>
      <c r="AN79" s="44">
        <f t="shared" si="80"/>
        <v>340694.63723355491</v>
      </c>
      <c r="AO79" s="44">
        <f t="shared" si="81"/>
        <v>340694.63723355491</v>
      </c>
      <c r="AP79" s="44">
        <f t="shared" si="82"/>
        <v>361680.53676229913</v>
      </c>
      <c r="AQ79" s="44">
        <f t="shared" si="83"/>
        <v>361680.53676229913</v>
      </c>
      <c r="AR79" s="44">
        <f t="shared" si="84"/>
        <v>361680.53676229913</v>
      </c>
      <c r="AS79" s="44">
        <f t="shared" si="85"/>
        <v>361680.53676229913</v>
      </c>
    </row>
    <row r="80" spans="1:45" x14ac:dyDescent="0.2">
      <c r="A80" s="4">
        <v>1989.2</v>
      </c>
      <c r="B80" s="44">
        <f>chainindex!AK80/chainindex!AK81*newbrowser!B81</f>
        <v>322330.96791025781</v>
      </c>
      <c r="C80" s="44">
        <f t="shared" si="43"/>
        <v>322661.15253978019</v>
      </c>
      <c r="D80" s="44">
        <f t="shared" si="44"/>
        <v>322661.15253978019</v>
      </c>
      <c r="E80" s="44">
        <f t="shared" si="45"/>
        <v>322661.15253978019</v>
      </c>
      <c r="F80" s="44">
        <f t="shared" si="46"/>
        <v>322661.15253978019</v>
      </c>
      <c r="G80" s="44">
        <f t="shared" si="47"/>
        <v>322510.26974535454</v>
      </c>
      <c r="H80" s="44">
        <f t="shared" si="48"/>
        <v>322510.26974535454</v>
      </c>
      <c r="I80" s="44">
        <f t="shared" si="49"/>
        <v>322510.26974535454</v>
      </c>
      <c r="J80" s="44">
        <f t="shared" si="50"/>
        <v>322510.26974535454</v>
      </c>
      <c r="K80" s="44">
        <f t="shared" si="51"/>
        <v>322510.26974535454</v>
      </c>
      <c r="L80" s="44">
        <f t="shared" si="52"/>
        <v>322510.26974535454</v>
      </c>
      <c r="M80" s="44">
        <f t="shared" si="53"/>
        <v>322510.27154830709</v>
      </c>
      <c r="N80" s="44">
        <f t="shared" si="54"/>
        <v>322543.26558125135</v>
      </c>
      <c r="O80" s="44">
        <f t="shared" si="55"/>
        <v>322543.26558125135</v>
      </c>
      <c r="P80" s="44">
        <f t="shared" si="56"/>
        <v>322543.26558125135</v>
      </c>
      <c r="Q80" s="44">
        <f t="shared" si="57"/>
        <v>322543.26558125135</v>
      </c>
      <c r="R80" s="44">
        <f t="shared" si="58"/>
        <v>322561.38525508146</v>
      </c>
      <c r="S80" s="44">
        <f t="shared" si="59"/>
        <v>322561.38525508146</v>
      </c>
      <c r="T80" s="44">
        <f t="shared" si="60"/>
        <v>322561.38525508146</v>
      </c>
      <c r="U80" s="44">
        <f t="shared" si="61"/>
        <v>322561.38525508146</v>
      </c>
      <c r="V80" s="44">
        <f t="shared" si="62"/>
        <v>342194.09692374809</v>
      </c>
      <c r="W80" s="44">
        <f t="shared" si="63"/>
        <v>342194.09692374809</v>
      </c>
      <c r="X80" s="44">
        <f t="shared" si="64"/>
        <v>342194.09692374809</v>
      </c>
      <c r="Y80" s="44">
        <f t="shared" si="65"/>
        <v>342194.09692374809</v>
      </c>
      <c r="Z80" s="44">
        <f t="shared" si="66"/>
        <v>341919.86783026054</v>
      </c>
      <c r="AA80" s="44">
        <f t="shared" si="67"/>
        <v>341919.86783026054</v>
      </c>
      <c r="AB80" s="44">
        <f t="shared" si="68"/>
        <v>341919.86783026054</v>
      </c>
      <c r="AC80" s="44">
        <f t="shared" si="69"/>
        <v>341919.86783026054</v>
      </c>
      <c r="AD80" s="44">
        <f t="shared" si="70"/>
        <v>342406.12415184901</v>
      </c>
      <c r="AE80" s="44">
        <f t="shared" si="71"/>
        <v>342406.12415184901</v>
      </c>
      <c r="AF80" s="44">
        <f t="shared" si="72"/>
        <v>342406.12415184901</v>
      </c>
      <c r="AG80" s="44">
        <f t="shared" si="73"/>
        <v>342406.12415184901</v>
      </c>
      <c r="AH80" s="44">
        <f t="shared" si="74"/>
        <v>342509.3431893384</v>
      </c>
      <c r="AI80" s="44">
        <f t="shared" si="75"/>
        <v>342509.3431893384</v>
      </c>
      <c r="AJ80" s="44">
        <f t="shared" si="76"/>
        <v>342509.3431893384</v>
      </c>
      <c r="AK80" s="44">
        <f t="shared" si="77"/>
        <v>342509.3431893384</v>
      </c>
      <c r="AL80" s="44">
        <f t="shared" si="78"/>
        <v>342168.67529180733</v>
      </c>
      <c r="AM80" s="44">
        <f t="shared" si="79"/>
        <v>342168.67529180733</v>
      </c>
      <c r="AN80" s="44">
        <f t="shared" si="80"/>
        <v>342168.67529180733</v>
      </c>
      <c r="AO80" s="44">
        <f t="shared" si="81"/>
        <v>342168.67529180733</v>
      </c>
      <c r="AP80" s="44">
        <f t="shared" si="82"/>
        <v>363245.37171375542</v>
      </c>
      <c r="AQ80" s="44">
        <f t="shared" si="83"/>
        <v>363245.37171375542</v>
      </c>
      <c r="AR80" s="44">
        <f t="shared" si="84"/>
        <v>363245.37171375542</v>
      </c>
      <c r="AS80" s="44">
        <f t="shared" si="85"/>
        <v>363245.37171375542</v>
      </c>
    </row>
    <row r="81" spans="1:45" x14ac:dyDescent="0.2">
      <c r="A81" s="4">
        <v>1989.3</v>
      </c>
      <c r="B81" s="44">
        <f>chainindex!AK81/chainindex!AK82*newbrowser!B82</f>
        <v>325690.60012726812</v>
      </c>
      <c r="C81" s="44">
        <f t="shared" si="43"/>
        <v>326024.22624715086</v>
      </c>
      <c r="D81" s="44">
        <f t="shared" si="44"/>
        <v>326024.22624715086</v>
      </c>
      <c r="E81" s="44">
        <f t="shared" si="45"/>
        <v>326024.22624715086</v>
      </c>
      <c r="F81" s="44">
        <f t="shared" si="46"/>
        <v>326024.22624715086</v>
      </c>
      <c r="G81" s="44">
        <f t="shared" si="47"/>
        <v>325871.77081234124</v>
      </c>
      <c r="H81" s="44">
        <f t="shared" si="48"/>
        <v>325871.77081234124</v>
      </c>
      <c r="I81" s="44">
        <f t="shared" si="49"/>
        <v>325871.77081234124</v>
      </c>
      <c r="J81" s="44">
        <f t="shared" si="50"/>
        <v>325871.77081234124</v>
      </c>
      <c r="K81" s="44">
        <f t="shared" si="51"/>
        <v>325871.77081234124</v>
      </c>
      <c r="L81" s="44">
        <f t="shared" si="52"/>
        <v>325871.77081234124</v>
      </c>
      <c r="M81" s="44">
        <f t="shared" si="53"/>
        <v>325871.77263408585</v>
      </c>
      <c r="N81" s="44">
        <f t="shared" si="54"/>
        <v>325905.11056143395</v>
      </c>
      <c r="O81" s="44">
        <f t="shared" si="55"/>
        <v>325905.11056143395</v>
      </c>
      <c r="P81" s="44">
        <f t="shared" si="56"/>
        <v>325905.11056143395</v>
      </c>
      <c r="Q81" s="44">
        <f t="shared" si="57"/>
        <v>325905.11056143395</v>
      </c>
      <c r="R81" s="44">
        <f t="shared" si="58"/>
        <v>325923.41909530549</v>
      </c>
      <c r="S81" s="44">
        <f t="shared" si="59"/>
        <v>325923.41909530549</v>
      </c>
      <c r="T81" s="44">
        <f t="shared" si="60"/>
        <v>325923.41909530549</v>
      </c>
      <c r="U81" s="44">
        <f t="shared" si="61"/>
        <v>325923.41909530549</v>
      </c>
      <c r="V81" s="44">
        <f t="shared" si="62"/>
        <v>345760.76108868758</v>
      </c>
      <c r="W81" s="44">
        <f t="shared" si="63"/>
        <v>345760.76108868758</v>
      </c>
      <c r="X81" s="44">
        <f t="shared" si="64"/>
        <v>345760.76108868758</v>
      </c>
      <c r="Y81" s="44">
        <f t="shared" si="65"/>
        <v>345760.76108868758</v>
      </c>
      <c r="Z81" s="44">
        <f t="shared" si="66"/>
        <v>345483.67372531892</v>
      </c>
      <c r="AA81" s="44">
        <f t="shared" si="67"/>
        <v>345483.67372531892</v>
      </c>
      <c r="AB81" s="44">
        <f t="shared" si="68"/>
        <v>345483.67372531892</v>
      </c>
      <c r="AC81" s="44">
        <f t="shared" si="69"/>
        <v>345483.67372531892</v>
      </c>
      <c r="AD81" s="44">
        <f t="shared" si="70"/>
        <v>345974.99826115416</v>
      </c>
      <c r="AE81" s="44">
        <f t="shared" si="71"/>
        <v>345974.99826115416</v>
      </c>
      <c r="AF81" s="44">
        <f t="shared" si="72"/>
        <v>345974.99826115416</v>
      </c>
      <c r="AG81" s="44">
        <f t="shared" si="73"/>
        <v>345974.99826115416</v>
      </c>
      <c r="AH81" s="44">
        <f t="shared" si="74"/>
        <v>346079.29314315831</v>
      </c>
      <c r="AI81" s="44">
        <f t="shared" si="75"/>
        <v>346079.29314315831</v>
      </c>
      <c r="AJ81" s="44">
        <f t="shared" si="76"/>
        <v>346079.29314315831</v>
      </c>
      <c r="AK81" s="44">
        <f t="shared" si="77"/>
        <v>346079.29314315831</v>
      </c>
      <c r="AL81" s="44">
        <f t="shared" si="78"/>
        <v>345735.07448892749</v>
      </c>
      <c r="AM81" s="44">
        <f t="shared" si="79"/>
        <v>345735.07448892749</v>
      </c>
      <c r="AN81" s="44">
        <f t="shared" si="80"/>
        <v>345735.07448892749</v>
      </c>
      <c r="AO81" s="44">
        <f t="shared" si="81"/>
        <v>345735.07448892749</v>
      </c>
      <c r="AP81" s="44">
        <f t="shared" si="82"/>
        <v>367031.45178357116</v>
      </c>
      <c r="AQ81" s="44">
        <f t="shared" si="83"/>
        <v>367031.45178357116</v>
      </c>
      <c r="AR81" s="44">
        <f t="shared" si="84"/>
        <v>367031.45178357116</v>
      </c>
      <c r="AS81" s="44">
        <f t="shared" si="85"/>
        <v>367031.45178357116</v>
      </c>
    </row>
    <row r="82" spans="1:45" x14ac:dyDescent="0.2">
      <c r="A82" s="4">
        <v>1989.4</v>
      </c>
      <c r="B82" s="44">
        <f>chainindex!AK82/chainindex!AK83*newbrowser!B83</f>
        <v>329042.43134067854</v>
      </c>
      <c r="C82" s="44">
        <f t="shared" si="43"/>
        <v>329379.49095984496</v>
      </c>
      <c r="D82" s="44">
        <f t="shared" si="44"/>
        <v>329379.49095984496</v>
      </c>
      <c r="E82" s="44">
        <f t="shared" si="45"/>
        <v>329379.49095984496</v>
      </c>
      <c r="F82" s="44">
        <f t="shared" si="46"/>
        <v>329379.49095984496</v>
      </c>
      <c r="G82" s="44">
        <f t="shared" si="47"/>
        <v>329225.4665362931</v>
      </c>
      <c r="H82" s="44">
        <f t="shared" si="48"/>
        <v>329225.4665362931</v>
      </c>
      <c r="I82" s="44">
        <f t="shared" si="49"/>
        <v>329225.4665362931</v>
      </c>
      <c r="J82" s="44">
        <f t="shared" si="50"/>
        <v>329225.4665362931</v>
      </c>
      <c r="K82" s="44">
        <f t="shared" si="51"/>
        <v>329225.4665362931</v>
      </c>
      <c r="L82" s="44">
        <f t="shared" si="52"/>
        <v>329225.4665362931</v>
      </c>
      <c r="M82" s="44">
        <f t="shared" si="53"/>
        <v>329225.4683767861</v>
      </c>
      <c r="N82" s="44">
        <f t="shared" si="54"/>
        <v>329259.14940002159</v>
      </c>
      <c r="O82" s="44">
        <f t="shared" si="55"/>
        <v>329259.14940002159</v>
      </c>
      <c r="P82" s="44">
        <f t="shared" si="56"/>
        <v>329259.14940002159</v>
      </c>
      <c r="Q82" s="44">
        <f t="shared" si="57"/>
        <v>329259.14940002159</v>
      </c>
      <c r="R82" s="44">
        <f t="shared" si="58"/>
        <v>329277.6463554051</v>
      </c>
      <c r="S82" s="44">
        <f t="shared" si="59"/>
        <v>329277.6463554051</v>
      </c>
      <c r="T82" s="44">
        <f t="shared" si="60"/>
        <v>329277.6463554051</v>
      </c>
      <c r="U82" s="44">
        <f t="shared" si="61"/>
        <v>329277.6463554051</v>
      </c>
      <c r="V82" s="44">
        <f t="shared" si="62"/>
        <v>349319.14352568984</v>
      </c>
      <c r="W82" s="44">
        <f t="shared" si="63"/>
        <v>349319.14352568984</v>
      </c>
      <c r="X82" s="44">
        <f t="shared" si="64"/>
        <v>349319.14352568984</v>
      </c>
      <c r="Y82" s="44">
        <f t="shared" si="65"/>
        <v>349319.14352568984</v>
      </c>
      <c r="Z82" s="44">
        <f t="shared" si="66"/>
        <v>349039.20452928968</v>
      </c>
      <c r="AA82" s="44">
        <f t="shared" si="67"/>
        <v>349039.20452928968</v>
      </c>
      <c r="AB82" s="44">
        <f t="shared" si="68"/>
        <v>349039.20452928968</v>
      </c>
      <c r="AC82" s="44">
        <f t="shared" si="69"/>
        <v>349039.20452928968</v>
      </c>
      <c r="AD82" s="44">
        <f t="shared" si="70"/>
        <v>349535.58551107236</v>
      </c>
      <c r="AE82" s="44">
        <f t="shared" si="71"/>
        <v>349535.58551107236</v>
      </c>
      <c r="AF82" s="44">
        <f t="shared" si="72"/>
        <v>349535.58551107236</v>
      </c>
      <c r="AG82" s="44">
        <f t="shared" si="73"/>
        <v>349535.58551107236</v>
      </c>
      <c r="AH82" s="44">
        <f t="shared" si="74"/>
        <v>349640.95373950026</v>
      </c>
      <c r="AI82" s="44">
        <f t="shared" si="75"/>
        <v>349640.95373950026</v>
      </c>
      <c r="AJ82" s="44">
        <f t="shared" si="76"/>
        <v>349640.95373950026</v>
      </c>
      <c r="AK82" s="44">
        <f t="shared" si="77"/>
        <v>349640.95373950026</v>
      </c>
      <c r="AL82" s="44">
        <f t="shared" si="78"/>
        <v>349293.19257336081</v>
      </c>
      <c r="AM82" s="44">
        <f t="shared" si="79"/>
        <v>349293.19257336081</v>
      </c>
      <c r="AN82" s="44">
        <f t="shared" si="80"/>
        <v>349293.19257336081</v>
      </c>
      <c r="AO82" s="44">
        <f t="shared" si="81"/>
        <v>349293.19257336081</v>
      </c>
      <c r="AP82" s="44">
        <f t="shared" si="82"/>
        <v>370808.74064579437</v>
      </c>
      <c r="AQ82" s="44">
        <f t="shared" si="83"/>
        <v>370808.74064579437</v>
      </c>
      <c r="AR82" s="44">
        <f t="shared" si="84"/>
        <v>370808.74064579437</v>
      </c>
      <c r="AS82" s="44">
        <f t="shared" si="85"/>
        <v>370808.74064579437</v>
      </c>
    </row>
    <row r="83" spans="1:45" x14ac:dyDescent="0.2">
      <c r="A83" s="4">
        <v>1990.1</v>
      </c>
      <c r="B83" s="44">
        <f>chainindex!AK83/chainindex!AK84*newbrowser!B84</f>
        <v>330354.30011272314</v>
      </c>
      <c r="C83" s="44">
        <f t="shared" si="43"/>
        <v>330692.7035646193</v>
      </c>
      <c r="D83" s="44">
        <f t="shared" si="44"/>
        <v>330692.7035646193</v>
      </c>
      <c r="E83" s="44">
        <f t="shared" si="45"/>
        <v>330692.7035646193</v>
      </c>
      <c r="F83" s="44">
        <f t="shared" si="46"/>
        <v>330692.7035646193</v>
      </c>
      <c r="G83" s="44">
        <f t="shared" si="47"/>
        <v>330538.06505664508</v>
      </c>
      <c r="H83" s="44">
        <f t="shared" si="48"/>
        <v>330538.06505664508</v>
      </c>
      <c r="I83" s="44">
        <f t="shared" si="49"/>
        <v>330538.06505664508</v>
      </c>
      <c r="J83" s="44">
        <f t="shared" si="50"/>
        <v>330538.06505664508</v>
      </c>
      <c r="K83" s="44">
        <f t="shared" si="51"/>
        <v>330538.06505664508</v>
      </c>
      <c r="L83" s="44">
        <f t="shared" si="52"/>
        <v>330538.06505664508</v>
      </c>
      <c r="M83" s="44">
        <f t="shared" si="53"/>
        <v>330538.06690447603</v>
      </c>
      <c r="N83" s="44">
        <f t="shared" si="54"/>
        <v>330571.88221155573</v>
      </c>
      <c r="O83" s="44">
        <f t="shared" si="55"/>
        <v>330571.88221155573</v>
      </c>
      <c r="P83" s="44">
        <f t="shared" si="56"/>
        <v>330571.88221155573</v>
      </c>
      <c r="Q83" s="44">
        <f t="shared" si="57"/>
        <v>330571.88221155573</v>
      </c>
      <c r="R83" s="44">
        <f t="shared" si="58"/>
        <v>330590.45291298482</v>
      </c>
      <c r="S83" s="44">
        <f t="shared" si="59"/>
        <v>330590.45291298482</v>
      </c>
      <c r="T83" s="44">
        <f t="shared" si="60"/>
        <v>330590.45291298482</v>
      </c>
      <c r="U83" s="44">
        <f t="shared" si="61"/>
        <v>330590.45291298482</v>
      </c>
      <c r="V83" s="44">
        <f t="shared" si="62"/>
        <v>350711.85410712322</v>
      </c>
      <c r="W83" s="44">
        <f t="shared" si="63"/>
        <v>350711.85410712322</v>
      </c>
      <c r="X83" s="44">
        <f t="shared" si="64"/>
        <v>350711.85410712322</v>
      </c>
      <c r="Y83" s="44">
        <f t="shared" si="65"/>
        <v>350711.85410712322</v>
      </c>
      <c r="Z83" s="44">
        <f t="shared" si="66"/>
        <v>350430.79901385383</v>
      </c>
      <c r="AA83" s="44">
        <f t="shared" si="67"/>
        <v>350430.79901385383</v>
      </c>
      <c r="AB83" s="44">
        <f t="shared" si="68"/>
        <v>350430.79901385383</v>
      </c>
      <c r="AC83" s="44">
        <f t="shared" si="69"/>
        <v>350430.79901385383</v>
      </c>
      <c r="AD83" s="44">
        <f t="shared" si="70"/>
        <v>350929.15903130797</v>
      </c>
      <c r="AE83" s="44">
        <f t="shared" si="71"/>
        <v>350929.15903130797</v>
      </c>
      <c r="AF83" s="44">
        <f t="shared" si="72"/>
        <v>350929.15903130797</v>
      </c>
      <c r="AG83" s="44">
        <f t="shared" si="73"/>
        <v>350929.15903130797</v>
      </c>
      <c r="AH83" s="44">
        <f t="shared" si="74"/>
        <v>351034.94735536876</v>
      </c>
      <c r="AI83" s="44">
        <f t="shared" si="75"/>
        <v>351034.94735536876</v>
      </c>
      <c r="AJ83" s="44">
        <f t="shared" si="76"/>
        <v>351034.94735536876</v>
      </c>
      <c r="AK83" s="44">
        <f t="shared" si="77"/>
        <v>351034.94735536876</v>
      </c>
      <c r="AL83" s="44">
        <f t="shared" si="78"/>
        <v>350685.79969019291</v>
      </c>
      <c r="AM83" s="44">
        <f t="shared" si="79"/>
        <v>350685.79969019291</v>
      </c>
      <c r="AN83" s="44">
        <f t="shared" si="80"/>
        <v>350685.79969019291</v>
      </c>
      <c r="AO83" s="44">
        <f t="shared" si="81"/>
        <v>350685.79969019291</v>
      </c>
      <c r="AP83" s="44">
        <f t="shared" si="82"/>
        <v>372287.12872259156</v>
      </c>
      <c r="AQ83" s="44">
        <f t="shared" si="83"/>
        <v>372287.12872259156</v>
      </c>
      <c r="AR83" s="44">
        <f t="shared" si="84"/>
        <v>372287.12872259156</v>
      </c>
      <c r="AS83" s="44">
        <f t="shared" si="85"/>
        <v>372287.12872259156</v>
      </c>
    </row>
    <row r="84" spans="1:45" x14ac:dyDescent="0.2">
      <c r="A84" s="4">
        <v>1990.2</v>
      </c>
      <c r="B84" s="44">
        <f>chainindex!AK84/chainindex!AK85*newbrowser!B85</f>
        <v>331360.62957710627</v>
      </c>
      <c r="C84" s="44">
        <f t="shared" si="43"/>
        <v>331700.06387789518</v>
      </c>
      <c r="D84" s="44">
        <f t="shared" si="44"/>
        <v>331700.06387789518</v>
      </c>
      <c r="E84" s="44">
        <f t="shared" si="45"/>
        <v>331700.06387789518</v>
      </c>
      <c r="F84" s="44">
        <f t="shared" si="46"/>
        <v>331700.06387789518</v>
      </c>
      <c r="G84" s="44">
        <f t="shared" si="47"/>
        <v>331544.95430813415</v>
      </c>
      <c r="H84" s="44">
        <f t="shared" si="48"/>
        <v>331544.95430813415</v>
      </c>
      <c r="I84" s="44">
        <f t="shared" si="49"/>
        <v>331544.95430813415</v>
      </c>
      <c r="J84" s="44">
        <f t="shared" si="50"/>
        <v>331544.95430813415</v>
      </c>
      <c r="K84" s="44">
        <f t="shared" si="51"/>
        <v>331544.95430813415</v>
      </c>
      <c r="L84" s="44">
        <f t="shared" si="52"/>
        <v>331544.95430813415</v>
      </c>
      <c r="M84" s="44">
        <f t="shared" si="53"/>
        <v>331544.95616159402</v>
      </c>
      <c r="N84" s="44">
        <f t="shared" si="54"/>
        <v>331578.8744772916</v>
      </c>
      <c r="O84" s="44">
        <f t="shared" si="55"/>
        <v>331578.8744772916</v>
      </c>
      <c r="P84" s="44">
        <f t="shared" si="56"/>
        <v>331578.8744772916</v>
      </c>
      <c r="Q84" s="44">
        <f t="shared" si="57"/>
        <v>331578.8744772916</v>
      </c>
      <c r="R84" s="44">
        <f t="shared" si="58"/>
        <v>331597.50174902723</v>
      </c>
      <c r="S84" s="44">
        <f t="shared" si="59"/>
        <v>331597.50174902723</v>
      </c>
      <c r="T84" s="44">
        <f t="shared" si="60"/>
        <v>331597.50174902723</v>
      </c>
      <c r="U84" s="44">
        <f t="shared" si="61"/>
        <v>331597.50174902723</v>
      </c>
      <c r="V84" s="44">
        <f t="shared" si="62"/>
        <v>351780.19701101771</v>
      </c>
      <c r="W84" s="44">
        <f t="shared" si="63"/>
        <v>351780.19701101771</v>
      </c>
      <c r="X84" s="44">
        <f t="shared" si="64"/>
        <v>351780.19701101771</v>
      </c>
      <c r="Y84" s="44">
        <f t="shared" si="65"/>
        <v>351780.19701101771</v>
      </c>
      <c r="Z84" s="44">
        <f t="shared" si="66"/>
        <v>351498.28576415393</v>
      </c>
      <c r="AA84" s="44">
        <f t="shared" si="67"/>
        <v>351498.28576415393</v>
      </c>
      <c r="AB84" s="44">
        <f t="shared" si="68"/>
        <v>351498.28576415393</v>
      </c>
      <c r="AC84" s="44">
        <f t="shared" si="69"/>
        <v>351498.28576415393</v>
      </c>
      <c r="AD84" s="44">
        <f t="shared" si="70"/>
        <v>351998.16389222222</v>
      </c>
      <c r="AE84" s="44">
        <f t="shared" si="71"/>
        <v>351998.16389222222</v>
      </c>
      <c r="AF84" s="44">
        <f t="shared" si="72"/>
        <v>351998.16389222222</v>
      </c>
      <c r="AG84" s="44">
        <f t="shared" si="73"/>
        <v>351998.16389222222</v>
      </c>
      <c r="AH84" s="44">
        <f t="shared" si="74"/>
        <v>352104.27447001921</v>
      </c>
      <c r="AI84" s="44">
        <f t="shared" si="75"/>
        <v>352104.27447001921</v>
      </c>
      <c r="AJ84" s="44">
        <f t="shared" si="76"/>
        <v>352104.27447001921</v>
      </c>
      <c r="AK84" s="44">
        <f t="shared" si="77"/>
        <v>352104.27447001921</v>
      </c>
      <c r="AL84" s="44">
        <f t="shared" si="78"/>
        <v>351754.06322679168</v>
      </c>
      <c r="AM84" s="44">
        <f t="shared" si="79"/>
        <v>351754.06322679168</v>
      </c>
      <c r="AN84" s="44">
        <f t="shared" si="80"/>
        <v>351754.06322679168</v>
      </c>
      <c r="AO84" s="44">
        <f t="shared" si="81"/>
        <v>351754.06322679168</v>
      </c>
      <c r="AP84" s="44">
        <f t="shared" si="82"/>
        <v>373421.19450201787</v>
      </c>
      <c r="AQ84" s="44">
        <f t="shared" si="83"/>
        <v>373421.19450201787</v>
      </c>
      <c r="AR84" s="44">
        <f t="shared" si="84"/>
        <v>373421.19450201787</v>
      </c>
      <c r="AS84" s="44">
        <f t="shared" si="85"/>
        <v>373421.19450201787</v>
      </c>
    </row>
    <row r="85" spans="1:45" x14ac:dyDescent="0.2">
      <c r="A85" s="4">
        <v>1990.3</v>
      </c>
      <c r="B85" s="44">
        <f>chainindex!AK85/chainindex!AK86*newbrowser!B86</f>
        <v>331892.39798916405</v>
      </c>
      <c r="C85" s="44">
        <f t="shared" si="43"/>
        <v>332232.37701501383</v>
      </c>
      <c r="D85" s="44">
        <f t="shared" si="44"/>
        <v>332232.37701501383</v>
      </c>
      <c r="E85" s="44">
        <f t="shared" si="45"/>
        <v>332232.37701501383</v>
      </c>
      <c r="F85" s="44">
        <f t="shared" si="46"/>
        <v>332232.37701501383</v>
      </c>
      <c r="G85" s="44">
        <f t="shared" si="47"/>
        <v>332077.01852500625</v>
      </c>
      <c r="H85" s="44">
        <f t="shared" si="48"/>
        <v>332077.01852500625</v>
      </c>
      <c r="I85" s="44">
        <f t="shared" si="49"/>
        <v>332077.01852500625</v>
      </c>
      <c r="J85" s="44">
        <f t="shared" si="50"/>
        <v>332077.01852500625</v>
      </c>
      <c r="K85" s="44">
        <f t="shared" si="51"/>
        <v>332077.01852500625</v>
      </c>
      <c r="L85" s="44">
        <f t="shared" si="52"/>
        <v>332077.01852500625</v>
      </c>
      <c r="M85" s="44">
        <f t="shared" si="53"/>
        <v>332077.02038144058</v>
      </c>
      <c r="N85" s="44">
        <f t="shared" si="54"/>
        <v>332110.99312934064</v>
      </c>
      <c r="O85" s="44">
        <f t="shared" si="55"/>
        <v>332110.99312934064</v>
      </c>
      <c r="P85" s="44">
        <f t="shared" si="56"/>
        <v>332110.99312934064</v>
      </c>
      <c r="Q85" s="44">
        <f t="shared" si="57"/>
        <v>332110.99312934064</v>
      </c>
      <c r="R85" s="44">
        <f t="shared" si="58"/>
        <v>332129.65029417106</v>
      </c>
      <c r="S85" s="44">
        <f t="shared" si="59"/>
        <v>332129.65029417106</v>
      </c>
      <c r="T85" s="44">
        <f t="shared" si="60"/>
        <v>332129.65029417106</v>
      </c>
      <c r="U85" s="44">
        <f t="shared" si="61"/>
        <v>332129.65029417106</v>
      </c>
      <c r="V85" s="44">
        <f t="shared" si="62"/>
        <v>352344.73479873454</v>
      </c>
      <c r="W85" s="44">
        <f t="shared" si="63"/>
        <v>352344.73479873454</v>
      </c>
      <c r="X85" s="44">
        <f t="shared" si="64"/>
        <v>352344.73479873454</v>
      </c>
      <c r="Y85" s="44">
        <f t="shared" si="65"/>
        <v>352344.73479873454</v>
      </c>
      <c r="Z85" s="44">
        <f t="shared" si="66"/>
        <v>352062.37113995844</v>
      </c>
      <c r="AA85" s="44">
        <f t="shared" si="67"/>
        <v>352062.37113995844</v>
      </c>
      <c r="AB85" s="44">
        <f t="shared" si="68"/>
        <v>352062.37113995844</v>
      </c>
      <c r="AC85" s="44">
        <f t="shared" si="69"/>
        <v>352062.37113995844</v>
      </c>
      <c r="AD85" s="44">
        <f t="shared" si="70"/>
        <v>352563.0514737647</v>
      </c>
      <c r="AE85" s="44">
        <f t="shared" si="71"/>
        <v>352563.0514737647</v>
      </c>
      <c r="AF85" s="44">
        <f t="shared" si="72"/>
        <v>352563.0514737647</v>
      </c>
      <c r="AG85" s="44">
        <f t="shared" si="73"/>
        <v>352563.0514737647</v>
      </c>
      <c r="AH85" s="44">
        <f t="shared" si="74"/>
        <v>352669.33233809675</v>
      </c>
      <c r="AI85" s="44">
        <f t="shared" si="75"/>
        <v>352669.33233809675</v>
      </c>
      <c r="AJ85" s="44">
        <f t="shared" si="76"/>
        <v>352669.33233809675</v>
      </c>
      <c r="AK85" s="44">
        <f t="shared" si="77"/>
        <v>352669.33233809675</v>
      </c>
      <c r="AL85" s="44">
        <f t="shared" si="78"/>
        <v>352318.55907494266</v>
      </c>
      <c r="AM85" s="44">
        <f t="shared" si="79"/>
        <v>352318.55907494266</v>
      </c>
      <c r="AN85" s="44">
        <f t="shared" si="80"/>
        <v>352318.55907494266</v>
      </c>
      <c r="AO85" s="44">
        <f t="shared" si="81"/>
        <v>352318.55907494266</v>
      </c>
      <c r="AP85" s="44">
        <f t="shared" si="82"/>
        <v>374020.46181956999</v>
      </c>
      <c r="AQ85" s="44">
        <f t="shared" si="83"/>
        <v>374020.46181956999</v>
      </c>
      <c r="AR85" s="44">
        <f t="shared" si="84"/>
        <v>374020.46181956999</v>
      </c>
      <c r="AS85" s="44">
        <f t="shared" si="85"/>
        <v>374020.46181956999</v>
      </c>
    </row>
    <row r="86" spans="1:45" x14ac:dyDescent="0.2">
      <c r="A86" s="4">
        <v>1990.4</v>
      </c>
      <c r="B86" s="44">
        <f>chainindex!AK86/chainindex!AK87*newbrowser!B87</f>
        <v>329736.72066106688</v>
      </c>
      <c r="C86" s="44">
        <f t="shared" si="43"/>
        <v>330074.49148605851</v>
      </c>
      <c r="D86" s="44">
        <f t="shared" si="44"/>
        <v>330074.49148605851</v>
      </c>
      <c r="E86" s="44">
        <f t="shared" si="45"/>
        <v>330074.49148605851</v>
      </c>
      <c r="F86" s="44">
        <f t="shared" si="46"/>
        <v>330074.49148605851</v>
      </c>
      <c r="G86" s="44">
        <f t="shared" si="47"/>
        <v>329920.14206639014</v>
      </c>
      <c r="H86" s="44">
        <f t="shared" si="48"/>
        <v>329920.14206639014</v>
      </c>
      <c r="I86" s="44">
        <f t="shared" si="49"/>
        <v>329920.14206639014</v>
      </c>
      <c r="J86" s="44">
        <f t="shared" si="50"/>
        <v>329920.14206639014</v>
      </c>
      <c r="K86" s="44">
        <f t="shared" si="51"/>
        <v>329920.14206639014</v>
      </c>
      <c r="L86" s="44">
        <f t="shared" si="52"/>
        <v>329920.14206639014</v>
      </c>
      <c r="M86" s="44">
        <f t="shared" si="53"/>
        <v>329920.14391076675</v>
      </c>
      <c r="N86" s="44">
        <f t="shared" si="54"/>
        <v>329953.89600196341</v>
      </c>
      <c r="O86" s="44">
        <f t="shared" si="55"/>
        <v>329953.89600196341</v>
      </c>
      <c r="P86" s="44">
        <f t="shared" si="56"/>
        <v>329953.89600196341</v>
      </c>
      <c r="Q86" s="44">
        <f t="shared" si="57"/>
        <v>329953.89600196341</v>
      </c>
      <c r="R86" s="44">
        <f t="shared" si="58"/>
        <v>329972.43198647315</v>
      </c>
      <c r="S86" s="44">
        <f t="shared" si="59"/>
        <v>329972.43198647315</v>
      </c>
      <c r="T86" s="44">
        <f t="shared" si="60"/>
        <v>329972.43198647315</v>
      </c>
      <c r="U86" s="44">
        <f t="shared" si="61"/>
        <v>329972.43198647315</v>
      </c>
      <c r="V86" s="44">
        <f t="shared" si="62"/>
        <v>350056.21731209767</v>
      </c>
      <c r="W86" s="44">
        <f t="shared" si="63"/>
        <v>350056.21731209767</v>
      </c>
      <c r="X86" s="44">
        <f t="shared" si="64"/>
        <v>350056.21731209767</v>
      </c>
      <c r="Y86" s="44">
        <f t="shared" si="65"/>
        <v>350056.21731209767</v>
      </c>
      <c r="Z86" s="44">
        <f t="shared" si="66"/>
        <v>349775.68763608584</v>
      </c>
      <c r="AA86" s="44">
        <f t="shared" si="67"/>
        <v>349775.68763608584</v>
      </c>
      <c r="AB86" s="44">
        <f t="shared" si="68"/>
        <v>349775.68763608584</v>
      </c>
      <c r="AC86" s="44">
        <f t="shared" si="69"/>
        <v>349775.68763608584</v>
      </c>
      <c r="AD86" s="44">
        <f t="shared" si="70"/>
        <v>350273.11599650927</v>
      </c>
      <c r="AE86" s="44">
        <f t="shared" si="71"/>
        <v>350273.11599650927</v>
      </c>
      <c r="AF86" s="44">
        <f t="shared" si="72"/>
        <v>350273.11599650927</v>
      </c>
      <c r="AG86" s="44">
        <f t="shared" si="73"/>
        <v>350273.11599650927</v>
      </c>
      <c r="AH86" s="44">
        <f t="shared" si="74"/>
        <v>350378.70655503427</v>
      </c>
      <c r="AI86" s="44">
        <f t="shared" si="75"/>
        <v>350378.70655503427</v>
      </c>
      <c r="AJ86" s="44">
        <f t="shared" si="76"/>
        <v>350378.70655503427</v>
      </c>
      <c r="AK86" s="44">
        <f t="shared" si="77"/>
        <v>350378.70655503427</v>
      </c>
      <c r="AL86" s="44">
        <f t="shared" si="78"/>
        <v>350030.21160248708</v>
      </c>
      <c r="AM86" s="44">
        <f t="shared" si="79"/>
        <v>350030.21160248708</v>
      </c>
      <c r="AN86" s="44">
        <f t="shared" si="80"/>
        <v>350030.21160248708</v>
      </c>
      <c r="AO86" s="44">
        <f t="shared" si="81"/>
        <v>350030.21160248708</v>
      </c>
      <c r="AP86" s="44">
        <f t="shared" si="82"/>
        <v>371591.15812152263</v>
      </c>
      <c r="AQ86" s="44">
        <f t="shared" si="83"/>
        <v>371591.15812152263</v>
      </c>
      <c r="AR86" s="44">
        <f t="shared" si="84"/>
        <v>371591.15812152263</v>
      </c>
      <c r="AS86" s="44">
        <f t="shared" si="85"/>
        <v>371591.15812152263</v>
      </c>
    </row>
    <row r="87" spans="1:45" x14ac:dyDescent="0.2">
      <c r="A87" s="4">
        <v>1991.1</v>
      </c>
      <c r="B87" s="44">
        <f>chainindex!AK87/chainindex!AK88*newbrowser!B88</f>
        <v>333033.9448492782</v>
      </c>
      <c r="C87" s="44">
        <f t="shared" si="43"/>
        <v>333375.09323601669</v>
      </c>
      <c r="D87" s="44">
        <f t="shared" si="44"/>
        <v>333375.09323601669</v>
      </c>
      <c r="E87" s="44">
        <f t="shared" si="45"/>
        <v>333375.09323601669</v>
      </c>
      <c r="F87" s="44">
        <f t="shared" si="46"/>
        <v>333375.09323601669</v>
      </c>
      <c r="G87" s="44">
        <f t="shared" si="47"/>
        <v>333219.20038909843</v>
      </c>
      <c r="H87" s="44">
        <f t="shared" si="48"/>
        <v>333219.20038909843</v>
      </c>
      <c r="I87" s="44">
        <f t="shared" si="49"/>
        <v>333219.20038909843</v>
      </c>
      <c r="J87" s="44">
        <f t="shared" si="50"/>
        <v>333219.20038909843</v>
      </c>
      <c r="K87" s="44">
        <f t="shared" si="51"/>
        <v>333219.20038909843</v>
      </c>
      <c r="L87" s="44">
        <f t="shared" si="52"/>
        <v>333219.20038909843</v>
      </c>
      <c r="M87" s="44">
        <f t="shared" si="53"/>
        <v>333219.20225191797</v>
      </c>
      <c r="N87" s="44">
        <f t="shared" si="54"/>
        <v>333253.29184938711</v>
      </c>
      <c r="O87" s="44">
        <f t="shared" si="55"/>
        <v>333253.29184938711</v>
      </c>
      <c r="P87" s="44">
        <f t="shared" si="56"/>
        <v>333253.29184938711</v>
      </c>
      <c r="Q87" s="44">
        <f t="shared" si="57"/>
        <v>333253.29184938711</v>
      </c>
      <c r="R87" s="44">
        <f t="shared" si="58"/>
        <v>333272.01318570226</v>
      </c>
      <c r="S87" s="44">
        <f t="shared" si="59"/>
        <v>333272.01318570226</v>
      </c>
      <c r="T87" s="44">
        <f t="shared" si="60"/>
        <v>333272.01318570226</v>
      </c>
      <c r="U87" s="44">
        <f t="shared" si="61"/>
        <v>333272.01318570226</v>
      </c>
      <c r="V87" s="44">
        <f t="shared" si="62"/>
        <v>353556.62765353976</v>
      </c>
      <c r="W87" s="44">
        <f t="shared" si="63"/>
        <v>353556.62765353976</v>
      </c>
      <c r="X87" s="44">
        <f t="shared" si="64"/>
        <v>353556.62765353976</v>
      </c>
      <c r="Y87" s="44">
        <f t="shared" si="65"/>
        <v>353556.62765353976</v>
      </c>
      <c r="Z87" s="44">
        <f t="shared" si="66"/>
        <v>353273.29280244338</v>
      </c>
      <c r="AA87" s="44">
        <f t="shared" si="67"/>
        <v>353273.29280244338</v>
      </c>
      <c r="AB87" s="44">
        <f t="shared" si="68"/>
        <v>353273.29280244338</v>
      </c>
      <c r="AC87" s="44">
        <f t="shared" si="69"/>
        <v>353273.29280244338</v>
      </c>
      <c r="AD87" s="44">
        <f t="shared" si="70"/>
        <v>353775.69523071888</v>
      </c>
      <c r="AE87" s="44">
        <f t="shared" si="71"/>
        <v>353775.69523071888</v>
      </c>
      <c r="AF87" s="44">
        <f t="shared" si="72"/>
        <v>353775.69523071888</v>
      </c>
      <c r="AG87" s="44">
        <f t="shared" si="73"/>
        <v>353775.69523071888</v>
      </c>
      <c r="AH87" s="44">
        <f t="shared" si="74"/>
        <v>353882.3416490308</v>
      </c>
      <c r="AI87" s="44">
        <f t="shared" si="75"/>
        <v>353882.3416490308</v>
      </c>
      <c r="AJ87" s="44">
        <f t="shared" si="76"/>
        <v>353882.3416490308</v>
      </c>
      <c r="AK87" s="44">
        <f t="shared" si="77"/>
        <v>353882.3416490308</v>
      </c>
      <c r="AL87" s="44">
        <f t="shared" si="78"/>
        <v>353530.36189811263</v>
      </c>
      <c r="AM87" s="44">
        <f t="shared" si="79"/>
        <v>353530.36189811263</v>
      </c>
      <c r="AN87" s="44">
        <f t="shared" si="80"/>
        <v>353530.36189811263</v>
      </c>
      <c r="AO87" s="44">
        <f t="shared" si="81"/>
        <v>353530.36189811263</v>
      </c>
      <c r="AP87" s="44">
        <f t="shared" si="82"/>
        <v>375306.90853059862</v>
      </c>
      <c r="AQ87" s="44">
        <f t="shared" si="83"/>
        <v>375306.90853059862</v>
      </c>
      <c r="AR87" s="44">
        <f t="shared" si="84"/>
        <v>375306.90853059862</v>
      </c>
      <c r="AS87" s="44">
        <f t="shared" si="85"/>
        <v>375306.90853059862</v>
      </c>
    </row>
    <row r="88" spans="1:45" x14ac:dyDescent="0.2">
      <c r="A88" s="4">
        <v>1991.2</v>
      </c>
      <c r="B88" s="44">
        <f>chainindex!AK88/chainindex!AK89*newbrowser!B89</f>
        <v>334839.87718264788</v>
      </c>
      <c r="C88" s="44">
        <f t="shared" si="43"/>
        <v>335182.87550363969</v>
      </c>
      <c r="D88" s="44">
        <f t="shared" si="44"/>
        <v>335182.87550363969</v>
      </c>
      <c r="E88" s="44">
        <f t="shared" si="45"/>
        <v>335182.87550363969</v>
      </c>
      <c r="F88" s="44">
        <f t="shared" si="46"/>
        <v>335182.87550363969</v>
      </c>
      <c r="G88" s="44">
        <f t="shared" si="47"/>
        <v>335026.13730165432</v>
      </c>
      <c r="H88" s="44">
        <f t="shared" si="48"/>
        <v>335026.13730165432</v>
      </c>
      <c r="I88" s="44">
        <f t="shared" si="49"/>
        <v>335026.13730165432</v>
      </c>
      <c r="J88" s="44">
        <f t="shared" si="50"/>
        <v>335026.13730165432</v>
      </c>
      <c r="K88" s="44">
        <f t="shared" si="51"/>
        <v>335026.13730165432</v>
      </c>
      <c r="L88" s="44">
        <f t="shared" si="52"/>
        <v>335026.13730165432</v>
      </c>
      <c r="M88" s="44">
        <f t="shared" si="53"/>
        <v>335026.13917457534</v>
      </c>
      <c r="N88" s="44">
        <f t="shared" si="54"/>
        <v>335060.41362859518</v>
      </c>
      <c r="O88" s="44">
        <f t="shared" si="55"/>
        <v>335060.41362859518</v>
      </c>
      <c r="P88" s="44">
        <f t="shared" si="56"/>
        <v>335060.41362859518</v>
      </c>
      <c r="Q88" s="44">
        <f t="shared" si="57"/>
        <v>335060.41362859518</v>
      </c>
      <c r="R88" s="44">
        <f t="shared" si="58"/>
        <v>335079.23648449144</v>
      </c>
      <c r="S88" s="44">
        <f t="shared" si="59"/>
        <v>335079.23648449144</v>
      </c>
      <c r="T88" s="44">
        <f t="shared" si="60"/>
        <v>335079.23648449144</v>
      </c>
      <c r="U88" s="44">
        <f t="shared" si="61"/>
        <v>335079.23648449144</v>
      </c>
      <c r="V88" s="44">
        <f t="shared" si="62"/>
        <v>355473.84767099371</v>
      </c>
      <c r="W88" s="44">
        <f t="shared" si="63"/>
        <v>355473.84767099371</v>
      </c>
      <c r="X88" s="44">
        <f t="shared" si="64"/>
        <v>355473.84767099371</v>
      </c>
      <c r="Y88" s="44">
        <f t="shared" si="65"/>
        <v>355473.84767099371</v>
      </c>
      <c r="Z88" s="44">
        <f t="shared" si="66"/>
        <v>355188.97638922208</v>
      </c>
      <c r="AA88" s="44">
        <f t="shared" si="67"/>
        <v>355188.97638922208</v>
      </c>
      <c r="AB88" s="44">
        <f t="shared" si="68"/>
        <v>355188.97638922208</v>
      </c>
      <c r="AC88" s="44">
        <f t="shared" si="69"/>
        <v>355188.97638922208</v>
      </c>
      <c r="AD88" s="44">
        <f t="shared" si="70"/>
        <v>355694.10317879351</v>
      </c>
      <c r="AE88" s="44">
        <f t="shared" si="71"/>
        <v>355694.10317879351</v>
      </c>
      <c r="AF88" s="44">
        <f t="shared" si="72"/>
        <v>355694.10317879351</v>
      </c>
      <c r="AG88" s="44">
        <f t="shared" si="73"/>
        <v>355694.10317879351</v>
      </c>
      <c r="AH88" s="44">
        <f t="shared" si="74"/>
        <v>355801.32790516695</v>
      </c>
      <c r="AI88" s="44">
        <f t="shared" si="75"/>
        <v>355801.32790516695</v>
      </c>
      <c r="AJ88" s="44">
        <f t="shared" si="76"/>
        <v>355801.32790516695</v>
      </c>
      <c r="AK88" s="44">
        <f t="shared" si="77"/>
        <v>355801.32790516695</v>
      </c>
      <c r="AL88" s="44">
        <f t="shared" si="78"/>
        <v>355447.43948510947</v>
      </c>
      <c r="AM88" s="44">
        <f t="shared" si="79"/>
        <v>355447.43948510947</v>
      </c>
      <c r="AN88" s="44">
        <f t="shared" si="80"/>
        <v>355447.43948510947</v>
      </c>
      <c r="AO88" s="44">
        <f t="shared" si="81"/>
        <v>355447.43948510947</v>
      </c>
      <c r="AP88" s="44">
        <f t="shared" si="82"/>
        <v>377342.07308825105</v>
      </c>
      <c r="AQ88" s="44">
        <f t="shared" si="83"/>
        <v>377342.07308825105</v>
      </c>
      <c r="AR88" s="44">
        <f t="shared" si="84"/>
        <v>377342.07308825105</v>
      </c>
      <c r="AS88" s="44">
        <f t="shared" si="85"/>
        <v>377342.07308825105</v>
      </c>
    </row>
    <row r="89" spans="1:45" x14ac:dyDescent="0.2">
      <c r="A89" s="4">
        <v>1991.3</v>
      </c>
      <c r="B89" s="44">
        <f>chainindex!AK89/chainindex!AK90*newbrowser!B90</f>
        <v>337029.35885967786</v>
      </c>
      <c r="C89" s="44">
        <f t="shared" si="43"/>
        <v>337374.60000952682</v>
      </c>
      <c r="D89" s="44">
        <f t="shared" si="44"/>
        <v>337374.60000952682</v>
      </c>
      <c r="E89" s="44">
        <f t="shared" si="45"/>
        <v>337374.60000952682</v>
      </c>
      <c r="F89" s="44">
        <f t="shared" si="46"/>
        <v>337374.60000952682</v>
      </c>
      <c r="G89" s="44">
        <f t="shared" si="47"/>
        <v>337216.83691342123</v>
      </c>
      <c r="H89" s="44">
        <f t="shared" si="48"/>
        <v>337216.83691342123</v>
      </c>
      <c r="I89" s="44">
        <f t="shared" si="49"/>
        <v>337216.83691342123</v>
      </c>
      <c r="J89" s="44">
        <f t="shared" si="50"/>
        <v>337216.83691342123</v>
      </c>
      <c r="K89" s="44">
        <f t="shared" si="51"/>
        <v>337216.83691342123</v>
      </c>
      <c r="L89" s="44">
        <f t="shared" si="52"/>
        <v>337216.83691342123</v>
      </c>
      <c r="M89" s="44">
        <f t="shared" si="53"/>
        <v>337216.83879858907</v>
      </c>
      <c r="N89" s="44">
        <f t="shared" si="54"/>
        <v>337251.33736955014</v>
      </c>
      <c r="O89" s="44">
        <f t="shared" si="55"/>
        <v>337251.33736955014</v>
      </c>
      <c r="P89" s="44">
        <f t="shared" si="56"/>
        <v>337251.33736955014</v>
      </c>
      <c r="Q89" s="44">
        <f t="shared" si="57"/>
        <v>337251.33736955014</v>
      </c>
      <c r="R89" s="44">
        <f t="shared" si="58"/>
        <v>337270.28330606164</v>
      </c>
      <c r="S89" s="44">
        <f t="shared" si="59"/>
        <v>337270.28330606164</v>
      </c>
      <c r="T89" s="44">
        <f t="shared" si="60"/>
        <v>337270.28330606164</v>
      </c>
      <c r="U89" s="44">
        <f t="shared" si="61"/>
        <v>337270.28330606164</v>
      </c>
      <c r="V89" s="44">
        <f t="shared" si="62"/>
        <v>357798.25264535833</v>
      </c>
      <c r="W89" s="44">
        <f t="shared" si="63"/>
        <v>357798.25264535833</v>
      </c>
      <c r="X89" s="44">
        <f t="shared" si="64"/>
        <v>357798.25264535833</v>
      </c>
      <c r="Y89" s="44">
        <f t="shared" si="65"/>
        <v>357798.25264535833</v>
      </c>
      <c r="Z89" s="44">
        <f t="shared" si="66"/>
        <v>357511.51862114097</v>
      </c>
      <c r="AA89" s="44">
        <f t="shared" si="67"/>
        <v>357511.51862114097</v>
      </c>
      <c r="AB89" s="44">
        <f t="shared" si="68"/>
        <v>357511.51862114097</v>
      </c>
      <c r="AC89" s="44">
        <f t="shared" si="69"/>
        <v>357511.51862114097</v>
      </c>
      <c r="AD89" s="44">
        <f t="shared" si="70"/>
        <v>358019.94838005898</v>
      </c>
      <c r="AE89" s="44">
        <f t="shared" si="71"/>
        <v>358019.94838005898</v>
      </c>
      <c r="AF89" s="44">
        <f t="shared" si="72"/>
        <v>358019.94838005898</v>
      </c>
      <c r="AG89" s="44">
        <f t="shared" si="73"/>
        <v>358019.94838005898</v>
      </c>
      <c r="AH89" s="44">
        <f t="shared" si="74"/>
        <v>358127.87423730042</v>
      </c>
      <c r="AI89" s="44">
        <f t="shared" si="75"/>
        <v>358127.87423730042</v>
      </c>
      <c r="AJ89" s="44">
        <f t="shared" si="76"/>
        <v>358127.87423730042</v>
      </c>
      <c r="AK89" s="44">
        <f t="shared" si="77"/>
        <v>358127.87423730042</v>
      </c>
      <c r="AL89" s="44">
        <f t="shared" si="78"/>
        <v>357771.67177920794</v>
      </c>
      <c r="AM89" s="44">
        <f t="shared" si="79"/>
        <v>357771.67177920794</v>
      </c>
      <c r="AN89" s="44">
        <f t="shared" si="80"/>
        <v>357771.67177920794</v>
      </c>
      <c r="AO89" s="44">
        <f t="shared" si="81"/>
        <v>357771.67177920794</v>
      </c>
      <c r="AP89" s="44">
        <f t="shared" si="82"/>
        <v>379809.47201919911</v>
      </c>
      <c r="AQ89" s="44">
        <f t="shared" si="83"/>
        <v>379809.47201919911</v>
      </c>
      <c r="AR89" s="44">
        <f t="shared" si="84"/>
        <v>379809.47201919911</v>
      </c>
      <c r="AS89" s="44">
        <f t="shared" si="85"/>
        <v>379809.47201919911</v>
      </c>
    </row>
    <row r="90" spans="1:45" x14ac:dyDescent="0.2">
      <c r="A90" s="4">
        <v>1991.4</v>
      </c>
      <c r="B90" s="44">
        <f>chainindex!AK90/chainindex!AK91*newbrowser!B91</f>
        <v>338718.2761390495</v>
      </c>
      <c r="C90" s="44">
        <f t="shared" si="43"/>
        <v>339065.24735700141</v>
      </c>
      <c r="D90" s="44">
        <f t="shared" si="44"/>
        <v>339065.24735700141</v>
      </c>
      <c r="E90" s="44">
        <f t="shared" si="45"/>
        <v>339065.24735700141</v>
      </c>
      <c r="F90" s="44">
        <f t="shared" si="46"/>
        <v>339065.24735700141</v>
      </c>
      <c r="G90" s="44">
        <f t="shared" si="47"/>
        <v>338906.69368045509</v>
      </c>
      <c r="H90" s="44">
        <f t="shared" si="48"/>
        <v>338906.69368045509</v>
      </c>
      <c r="I90" s="44">
        <f t="shared" si="49"/>
        <v>338906.69368045509</v>
      </c>
      <c r="J90" s="44">
        <f t="shared" si="50"/>
        <v>338906.69368045509</v>
      </c>
      <c r="K90" s="44">
        <f t="shared" si="51"/>
        <v>338906.69368045509</v>
      </c>
      <c r="L90" s="44">
        <f t="shared" si="52"/>
        <v>338906.69368045509</v>
      </c>
      <c r="M90" s="44">
        <f t="shared" si="53"/>
        <v>338906.69557506987</v>
      </c>
      <c r="N90" s="44">
        <f t="shared" si="54"/>
        <v>338941.36702483532</v>
      </c>
      <c r="O90" s="44">
        <f t="shared" si="55"/>
        <v>338941.36702483532</v>
      </c>
      <c r="P90" s="44">
        <f t="shared" si="56"/>
        <v>338941.36702483532</v>
      </c>
      <c r="Q90" s="44">
        <f t="shared" si="57"/>
        <v>338941.36702483532</v>
      </c>
      <c r="R90" s="44">
        <f t="shared" si="58"/>
        <v>338960.40790298529</v>
      </c>
      <c r="S90" s="44">
        <f t="shared" si="59"/>
        <v>338960.40790298529</v>
      </c>
      <c r="T90" s="44">
        <f t="shared" si="60"/>
        <v>338960.40790298529</v>
      </c>
      <c r="U90" s="44">
        <f t="shared" si="61"/>
        <v>338960.40790298529</v>
      </c>
      <c r="V90" s="44">
        <f t="shared" si="62"/>
        <v>359591.24674375466</v>
      </c>
      <c r="W90" s="44">
        <f t="shared" si="63"/>
        <v>359591.24674375466</v>
      </c>
      <c r="X90" s="44">
        <f t="shared" si="64"/>
        <v>359591.24674375466</v>
      </c>
      <c r="Y90" s="44">
        <f t="shared" si="65"/>
        <v>359591.24674375466</v>
      </c>
      <c r="Z90" s="44">
        <f t="shared" si="66"/>
        <v>359303.07584160561</v>
      </c>
      <c r="AA90" s="44">
        <f t="shared" si="67"/>
        <v>359303.07584160561</v>
      </c>
      <c r="AB90" s="44">
        <f t="shared" si="68"/>
        <v>359303.07584160561</v>
      </c>
      <c r="AC90" s="44">
        <f t="shared" si="69"/>
        <v>359303.07584160561</v>
      </c>
      <c r="AD90" s="44">
        <f t="shared" si="70"/>
        <v>359814.05343732954</v>
      </c>
      <c r="AE90" s="44">
        <f t="shared" si="71"/>
        <v>359814.05343732954</v>
      </c>
      <c r="AF90" s="44">
        <f t="shared" si="72"/>
        <v>359814.05343732954</v>
      </c>
      <c r="AG90" s="44">
        <f t="shared" si="73"/>
        <v>359814.05343732954</v>
      </c>
      <c r="AH90" s="44">
        <f t="shared" si="74"/>
        <v>359922.52013126784</v>
      </c>
      <c r="AI90" s="44">
        <f t="shared" si="75"/>
        <v>359922.52013126784</v>
      </c>
      <c r="AJ90" s="44">
        <f t="shared" si="76"/>
        <v>359922.52013126784</v>
      </c>
      <c r="AK90" s="44">
        <f t="shared" si="77"/>
        <v>359922.52013126784</v>
      </c>
      <c r="AL90" s="44">
        <f t="shared" si="78"/>
        <v>359564.53267590253</v>
      </c>
      <c r="AM90" s="44">
        <f t="shared" si="79"/>
        <v>359564.53267590253</v>
      </c>
      <c r="AN90" s="44">
        <f t="shared" si="80"/>
        <v>359564.53267590253</v>
      </c>
      <c r="AO90" s="44">
        <f t="shared" si="81"/>
        <v>359564.53267590253</v>
      </c>
      <c r="AP90" s="44">
        <f t="shared" si="82"/>
        <v>381712.76846296468</v>
      </c>
      <c r="AQ90" s="44">
        <f t="shared" si="83"/>
        <v>381712.76846296468</v>
      </c>
      <c r="AR90" s="44">
        <f t="shared" si="84"/>
        <v>381712.76846296468</v>
      </c>
      <c r="AS90" s="44">
        <f t="shared" si="85"/>
        <v>381712.76846296468</v>
      </c>
    </row>
    <row r="91" spans="1:45" x14ac:dyDescent="0.2">
      <c r="A91" s="4">
        <v>1992.1</v>
      </c>
      <c r="B91" s="44">
        <f>chainindex!AK91/chainindex!AK92*newbrowser!B92</f>
        <v>340232.97100469074</v>
      </c>
      <c r="C91" s="44">
        <f t="shared" si="43"/>
        <v>340581.4938233663</v>
      </c>
      <c r="D91" s="44">
        <f t="shared" si="44"/>
        <v>340581.4938233663</v>
      </c>
      <c r="E91" s="44">
        <f t="shared" si="45"/>
        <v>340581.4938233663</v>
      </c>
      <c r="F91" s="44">
        <f t="shared" si="46"/>
        <v>340581.4938233663</v>
      </c>
      <c r="G91" s="44">
        <f t="shared" si="47"/>
        <v>340422.23111971188</v>
      </c>
      <c r="H91" s="44">
        <f t="shared" si="48"/>
        <v>340422.23111971188</v>
      </c>
      <c r="I91" s="44">
        <f t="shared" si="49"/>
        <v>340422.23111971188</v>
      </c>
      <c r="J91" s="44">
        <f t="shared" si="50"/>
        <v>340422.23111971188</v>
      </c>
      <c r="K91" s="44">
        <f t="shared" si="51"/>
        <v>340422.23111971188</v>
      </c>
      <c r="L91" s="44">
        <f t="shared" si="52"/>
        <v>340422.23111971188</v>
      </c>
      <c r="M91" s="44">
        <f t="shared" si="53"/>
        <v>340422.23302279908</v>
      </c>
      <c r="N91" s="44">
        <f t="shared" si="54"/>
        <v>340457.05951783562</v>
      </c>
      <c r="O91" s="44">
        <f t="shared" si="55"/>
        <v>340457.05951783562</v>
      </c>
      <c r="P91" s="44">
        <f t="shared" si="56"/>
        <v>340457.05951783562</v>
      </c>
      <c r="Q91" s="44">
        <f t="shared" si="57"/>
        <v>340457.05951783562</v>
      </c>
      <c r="R91" s="44">
        <f t="shared" si="58"/>
        <v>340476.18554379838</v>
      </c>
      <c r="S91" s="44">
        <f t="shared" si="59"/>
        <v>340476.18554379838</v>
      </c>
      <c r="T91" s="44">
        <f t="shared" si="60"/>
        <v>340476.18554379838</v>
      </c>
      <c r="U91" s="44">
        <f t="shared" si="61"/>
        <v>340476.18554379838</v>
      </c>
      <c r="V91" s="44">
        <f t="shared" si="62"/>
        <v>361199.28225155437</v>
      </c>
      <c r="W91" s="44">
        <f t="shared" si="63"/>
        <v>361199.28225155437</v>
      </c>
      <c r="X91" s="44">
        <f t="shared" si="64"/>
        <v>361199.28225155437</v>
      </c>
      <c r="Y91" s="44">
        <f t="shared" si="65"/>
        <v>361199.28225155437</v>
      </c>
      <c r="Z91" s="44">
        <f t="shared" si="66"/>
        <v>360909.82269444736</v>
      </c>
      <c r="AA91" s="44">
        <f t="shared" si="67"/>
        <v>360909.82269444736</v>
      </c>
      <c r="AB91" s="44">
        <f t="shared" si="68"/>
        <v>360909.82269444736</v>
      </c>
      <c r="AC91" s="44">
        <f t="shared" si="69"/>
        <v>360909.82269444736</v>
      </c>
      <c r="AD91" s="44">
        <f t="shared" si="70"/>
        <v>361423.08530162543</v>
      </c>
      <c r="AE91" s="44">
        <f t="shared" si="71"/>
        <v>361423.08530162543</v>
      </c>
      <c r="AF91" s="44">
        <f t="shared" si="72"/>
        <v>361423.08530162543</v>
      </c>
      <c r="AG91" s="44">
        <f t="shared" si="73"/>
        <v>361423.08530162543</v>
      </c>
      <c r="AH91" s="44">
        <f t="shared" si="74"/>
        <v>361532.03704156209</v>
      </c>
      <c r="AI91" s="44">
        <f t="shared" si="75"/>
        <v>361532.03704156209</v>
      </c>
      <c r="AJ91" s="44">
        <f t="shared" si="76"/>
        <v>361532.03704156209</v>
      </c>
      <c r="AK91" s="44">
        <f t="shared" si="77"/>
        <v>361532.03704156209</v>
      </c>
      <c r="AL91" s="44">
        <f t="shared" si="78"/>
        <v>361172.44872259186</v>
      </c>
      <c r="AM91" s="44">
        <f t="shared" si="79"/>
        <v>361172.44872259186</v>
      </c>
      <c r="AN91" s="44">
        <f t="shared" si="80"/>
        <v>361172.44872259186</v>
      </c>
      <c r="AO91" s="44">
        <f t="shared" si="81"/>
        <v>361172.44872259186</v>
      </c>
      <c r="AP91" s="44">
        <f t="shared" si="82"/>
        <v>383419.72793716576</v>
      </c>
      <c r="AQ91" s="44">
        <f t="shared" si="83"/>
        <v>383419.72793716576</v>
      </c>
      <c r="AR91" s="44">
        <f t="shared" si="84"/>
        <v>383419.72793716576</v>
      </c>
      <c r="AS91" s="44">
        <f t="shared" si="85"/>
        <v>383419.72793716576</v>
      </c>
    </row>
    <row r="92" spans="1:45" x14ac:dyDescent="0.2">
      <c r="A92" s="4">
        <v>1992.2</v>
      </c>
      <c r="B92" s="44">
        <f>chainindex!AK92/chainindex!AK93*newbrowser!B93</f>
        <v>338775.48349878192</v>
      </c>
      <c r="C92" s="44">
        <f t="shared" si="43"/>
        <v>339122.51331796288</v>
      </c>
      <c r="D92" s="44">
        <f t="shared" si="44"/>
        <v>339122.51331796288</v>
      </c>
      <c r="E92" s="44">
        <f t="shared" si="45"/>
        <v>339122.51331796288</v>
      </c>
      <c r="F92" s="44">
        <f t="shared" si="46"/>
        <v>339122.51331796288</v>
      </c>
      <c r="G92" s="44">
        <f t="shared" si="47"/>
        <v>338963.93286271032</v>
      </c>
      <c r="H92" s="44">
        <f t="shared" si="48"/>
        <v>338963.93286271032</v>
      </c>
      <c r="I92" s="44">
        <f t="shared" si="49"/>
        <v>338963.93286271032</v>
      </c>
      <c r="J92" s="44">
        <f t="shared" si="50"/>
        <v>338963.93286271032</v>
      </c>
      <c r="K92" s="44">
        <f t="shared" si="51"/>
        <v>338963.93286271032</v>
      </c>
      <c r="L92" s="44">
        <f t="shared" si="52"/>
        <v>338963.93286271032</v>
      </c>
      <c r="M92" s="44">
        <f t="shared" si="53"/>
        <v>338963.93475764513</v>
      </c>
      <c r="N92" s="44">
        <f t="shared" si="54"/>
        <v>338998.61206319765</v>
      </c>
      <c r="O92" s="44">
        <f t="shared" si="55"/>
        <v>338998.61206319765</v>
      </c>
      <c r="P92" s="44">
        <f t="shared" si="56"/>
        <v>338998.61206319765</v>
      </c>
      <c r="Q92" s="44">
        <f t="shared" si="57"/>
        <v>338998.61206319765</v>
      </c>
      <c r="R92" s="44">
        <f t="shared" si="58"/>
        <v>339017.65615723067</v>
      </c>
      <c r="S92" s="44">
        <f t="shared" si="59"/>
        <v>339017.65615723067</v>
      </c>
      <c r="T92" s="44">
        <f t="shared" si="60"/>
        <v>339017.65615723067</v>
      </c>
      <c r="U92" s="44">
        <f t="shared" si="61"/>
        <v>339017.65615723067</v>
      </c>
      <c r="V92" s="44">
        <f t="shared" si="62"/>
        <v>359651.9794152939</v>
      </c>
      <c r="W92" s="44">
        <f t="shared" si="63"/>
        <v>359651.9794152939</v>
      </c>
      <c r="X92" s="44">
        <f t="shared" si="64"/>
        <v>359651.9794152939</v>
      </c>
      <c r="Y92" s="44">
        <f t="shared" si="65"/>
        <v>359651.9794152939</v>
      </c>
      <c r="Z92" s="44">
        <f t="shared" si="66"/>
        <v>359363.7598429147</v>
      </c>
      <c r="AA92" s="44">
        <f t="shared" si="67"/>
        <v>359363.7598429147</v>
      </c>
      <c r="AB92" s="44">
        <f t="shared" si="68"/>
        <v>359363.7598429147</v>
      </c>
      <c r="AC92" s="44">
        <f t="shared" si="69"/>
        <v>359363.7598429147</v>
      </c>
      <c r="AD92" s="44">
        <f t="shared" si="70"/>
        <v>359874.82373950043</v>
      </c>
      <c r="AE92" s="44">
        <f t="shared" si="71"/>
        <v>359874.82373950043</v>
      </c>
      <c r="AF92" s="44">
        <f t="shared" si="72"/>
        <v>359874.82373950043</v>
      </c>
      <c r="AG92" s="44">
        <f t="shared" si="73"/>
        <v>359874.82373950043</v>
      </c>
      <c r="AH92" s="44">
        <f t="shared" si="74"/>
        <v>359983.30875277263</v>
      </c>
      <c r="AI92" s="44">
        <f t="shared" si="75"/>
        <v>359983.30875277263</v>
      </c>
      <c r="AJ92" s="44">
        <f t="shared" si="76"/>
        <v>359983.30875277263</v>
      </c>
      <c r="AK92" s="44">
        <f t="shared" si="77"/>
        <v>359983.30875277263</v>
      </c>
      <c r="AL92" s="44">
        <f t="shared" si="78"/>
        <v>359625.26083560596</v>
      </c>
      <c r="AM92" s="44">
        <f t="shared" si="79"/>
        <v>359625.26083560596</v>
      </c>
      <c r="AN92" s="44">
        <f t="shared" si="80"/>
        <v>359625.26083560596</v>
      </c>
      <c r="AO92" s="44">
        <f t="shared" si="81"/>
        <v>359625.26083560596</v>
      </c>
      <c r="AP92" s="44">
        <f t="shared" si="82"/>
        <v>381777.23731864284</v>
      </c>
      <c r="AQ92" s="44">
        <f t="shared" si="83"/>
        <v>381777.23731864284</v>
      </c>
      <c r="AR92" s="44">
        <f t="shared" si="84"/>
        <v>381777.23731864284</v>
      </c>
      <c r="AS92" s="44">
        <f t="shared" si="85"/>
        <v>381777.23731864284</v>
      </c>
    </row>
    <row r="93" spans="1:45" x14ac:dyDescent="0.2">
      <c r="A93" s="4">
        <v>1992.3</v>
      </c>
      <c r="B93" s="44">
        <f>chainindex!AK93/chainindex!AK94*newbrowser!B94</f>
        <v>337328.39733100624</v>
      </c>
      <c r="C93" s="44">
        <f t="shared" si="43"/>
        <v>337673.94480546156</v>
      </c>
      <c r="D93" s="44">
        <f t="shared" si="44"/>
        <v>337673.94480546156</v>
      </c>
      <c r="E93" s="44">
        <f t="shared" si="45"/>
        <v>337673.94480546156</v>
      </c>
      <c r="F93" s="44">
        <f t="shared" si="46"/>
        <v>337673.94480546156</v>
      </c>
      <c r="G93" s="44">
        <f t="shared" si="47"/>
        <v>337516.04172975518</v>
      </c>
      <c r="H93" s="44">
        <f t="shared" si="48"/>
        <v>337516.04172975518</v>
      </c>
      <c r="I93" s="44">
        <f t="shared" si="49"/>
        <v>337516.04172975518</v>
      </c>
      <c r="J93" s="44">
        <f t="shared" si="50"/>
        <v>337516.04172975518</v>
      </c>
      <c r="K93" s="44">
        <f t="shared" si="51"/>
        <v>337516.04172975518</v>
      </c>
      <c r="L93" s="44">
        <f t="shared" si="52"/>
        <v>337516.04172975518</v>
      </c>
      <c r="M93" s="44">
        <f t="shared" si="53"/>
        <v>337516.04361659574</v>
      </c>
      <c r="N93" s="44">
        <f t="shared" si="54"/>
        <v>337550.5727973528</v>
      </c>
      <c r="O93" s="44">
        <f t="shared" si="55"/>
        <v>337550.5727973528</v>
      </c>
      <c r="P93" s="44">
        <f t="shared" si="56"/>
        <v>337550.5727973528</v>
      </c>
      <c r="Q93" s="44">
        <f t="shared" si="57"/>
        <v>337550.5727973528</v>
      </c>
      <c r="R93" s="44">
        <f t="shared" si="58"/>
        <v>337569.53554416209</v>
      </c>
      <c r="S93" s="44">
        <f t="shared" si="59"/>
        <v>337569.53554416209</v>
      </c>
      <c r="T93" s="44">
        <f t="shared" si="60"/>
        <v>337569.53554416209</v>
      </c>
      <c r="U93" s="44">
        <f t="shared" si="61"/>
        <v>337569.53554416209</v>
      </c>
      <c r="V93" s="44">
        <f t="shared" si="62"/>
        <v>358115.71888294967</v>
      </c>
      <c r="W93" s="44">
        <f t="shared" si="63"/>
        <v>358115.71888294967</v>
      </c>
      <c r="X93" s="44">
        <f t="shared" si="64"/>
        <v>358115.71888294967</v>
      </c>
      <c r="Y93" s="44">
        <f t="shared" si="65"/>
        <v>358115.71888294967</v>
      </c>
      <c r="Z93" s="44">
        <f t="shared" si="66"/>
        <v>357828.73044616554</v>
      </c>
      <c r="AA93" s="44">
        <f t="shared" si="67"/>
        <v>357828.73044616554</v>
      </c>
      <c r="AB93" s="44">
        <f t="shared" si="68"/>
        <v>357828.73044616554</v>
      </c>
      <c r="AC93" s="44">
        <f t="shared" si="69"/>
        <v>357828.73044616554</v>
      </c>
      <c r="AD93" s="44">
        <f t="shared" si="70"/>
        <v>358337.61132322467</v>
      </c>
      <c r="AE93" s="44">
        <f t="shared" si="71"/>
        <v>358337.61132322467</v>
      </c>
      <c r="AF93" s="44">
        <f t="shared" si="72"/>
        <v>358337.61132322467</v>
      </c>
      <c r="AG93" s="44">
        <f t="shared" si="73"/>
        <v>358337.61132322467</v>
      </c>
      <c r="AH93" s="44">
        <f t="shared" si="74"/>
        <v>358445.63294062042</v>
      </c>
      <c r="AI93" s="44">
        <f t="shared" si="75"/>
        <v>358445.63294062042</v>
      </c>
      <c r="AJ93" s="44">
        <f t="shared" si="76"/>
        <v>358445.63294062042</v>
      </c>
      <c r="AK93" s="44">
        <f t="shared" si="77"/>
        <v>358445.63294062042</v>
      </c>
      <c r="AL93" s="44">
        <f t="shared" si="78"/>
        <v>358089.11443220248</v>
      </c>
      <c r="AM93" s="44">
        <f t="shared" si="79"/>
        <v>358089.11443220248</v>
      </c>
      <c r="AN93" s="44">
        <f t="shared" si="80"/>
        <v>358089.11443220248</v>
      </c>
      <c r="AO93" s="44">
        <f t="shared" si="81"/>
        <v>358089.11443220248</v>
      </c>
      <c r="AP93" s="44">
        <f t="shared" si="82"/>
        <v>380146.46831024322</v>
      </c>
      <c r="AQ93" s="44">
        <f t="shared" si="83"/>
        <v>380146.46831024322</v>
      </c>
      <c r="AR93" s="44">
        <f t="shared" si="84"/>
        <v>380146.46831024322</v>
      </c>
      <c r="AS93" s="44">
        <f t="shared" si="85"/>
        <v>380146.46831024322</v>
      </c>
    </row>
    <row r="94" spans="1:45" x14ac:dyDescent="0.2">
      <c r="A94" s="4">
        <v>1992.4</v>
      </c>
      <c r="B94" s="44">
        <f>chainindex!AK94/chainindex!AK95*newbrowser!B95</f>
        <v>335980.12387549551</v>
      </c>
      <c r="C94" s="44">
        <f t="shared" si="43"/>
        <v>336324.29022552993</v>
      </c>
      <c r="D94" s="44">
        <f t="shared" si="44"/>
        <v>336324.29022552993</v>
      </c>
      <c r="E94" s="44">
        <f t="shared" si="45"/>
        <v>336324.29022552993</v>
      </c>
      <c r="F94" s="44">
        <f t="shared" si="46"/>
        <v>336324.29022552993</v>
      </c>
      <c r="G94" s="44">
        <f t="shared" si="47"/>
        <v>336167.01827524079</v>
      </c>
      <c r="H94" s="44">
        <f t="shared" si="48"/>
        <v>336167.01827524079</v>
      </c>
      <c r="I94" s="44">
        <f t="shared" si="49"/>
        <v>336167.01827524079</v>
      </c>
      <c r="J94" s="44">
        <f t="shared" si="50"/>
        <v>336167.01827524079</v>
      </c>
      <c r="K94" s="44">
        <f t="shared" si="51"/>
        <v>336167.01827524079</v>
      </c>
      <c r="L94" s="44">
        <f t="shared" si="52"/>
        <v>336167.01827524079</v>
      </c>
      <c r="M94" s="44">
        <f t="shared" si="53"/>
        <v>336167.02015453979</v>
      </c>
      <c r="N94" s="44">
        <f t="shared" si="54"/>
        <v>336201.41132504266</v>
      </c>
      <c r="O94" s="44">
        <f t="shared" si="55"/>
        <v>336201.41132504266</v>
      </c>
      <c r="P94" s="44">
        <f t="shared" si="56"/>
        <v>336201.41132504266</v>
      </c>
      <c r="Q94" s="44">
        <f t="shared" si="57"/>
        <v>336201.41132504266</v>
      </c>
      <c r="R94" s="44">
        <f t="shared" si="58"/>
        <v>336220.29827933531</v>
      </c>
      <c r="S94" s="44">
        <f t="shared" si="59"/>
        <v>336220.29827933531</v>
      </c>
      <c r="T94" s="44">
        <f t="shared" si="60"/>
        <v>336220.29827933531</v>
      </c>
      <c r="U94" s="44">
        <f t="shared" si="61"/>
        <v>336220.29827933531</v>
      </c>
      <c r="V94" s="44">
        <f t="shared" si="62"/>
        <v>356684.36023780948</v>
      </c>
      <c r="W94" s="44">
        <f t="shared" si="63"/>
        <v>356684.36023780948</v>
      </c>
      <c r="X94" s="44">
        <f t="shared" si="64"/>
        <v>356684.36023780948</v>
      </c>
      <c r="Y94" s="44">
        <f t="shared" si="65"/>
        <v>356684.36023780948</v>
      </c>
      <c r="Z94" s="44">
        <f t="shared" si="66"/>
        <v>356398.51886985922</v>
      </c>
      <c r="AA94" s="44">
        <f t="shared" si="67"/>
        <v>356398.51886985922</v>
      </c>
      <c r="AB94" s="44">
        <f t="shared" si="68"/>
        <v>356398.51886985922</v>
      </c>
      <c r="AC94" s="44">
        <f t="shared" si="69"/>
        <v>356398.51886985922</v>
      </c>
      <c r="AD94" s="44">
        <f t="shared" si="70"/>
        <v>356905.36579251668</v>
      </c>
      <c r="AE94" s="44">
        <f t="shared" si="71"/>
        <v>356905.36579251668</v>
      </c>
      <c r="AF94" s="44">
        <f t="shared" si="72"/>
        <v>356905.36579251668</v>
      </c>
      <c r="AG94" s="44">
        <f t="shared" si="73"/>
        <v>356905.36579251668</v>
      </c>
      <c r="AH94" s="44">
        <f t="shared" si="74"/>
        <v>357012.95565652166</v>
      </c>
      <c r="AI94" s="44">
        <f t="shared" si="75"/>
        <v>357012.95565652166</v>
      </c>
      <c r="AJ94" s="44">
        <f t="shared" si="76"/>
        <v>357012.95565652166</v>
      </c>
      <c r="AK94" s="44">
        <f t="shared" si="77"/>
        <v>357012.95565652166</v>
      </c>
      <c r="AL94" s="44">
        <f t="shared" si="78"/>
        <v>356657.86212283187</v>
      </c>
      <c r="AM94" s="44">
        <f t="shared" si="79"/>
        <v>356657.86212283187</v>
      </c>
      <c r="AN94" s="44">
        <f t="shared" si="80"/>
        <v>356657.86212283187</v>
      </c>
      <c r="AO94" s="44">
        <f t="shared" si="81"/>
        <v>356657.86212283187</v>
      </c>
      <c r="AP94" s="44">
        <f t="shared" si="82"/>
        <v>378627.05459801457</v>
      </c>
      <c r="AQ94" s="44">
        <f t="shared" si="83"/>
        <v>378627.05459801457</v>
      </c>
      <c r="AR94" s="44">
        <f t="shared" si="84"/>
        <v>378627.05459801457</v>
      </c>
      <c r="AS94" s="44">
        <f t="shared" si="85"/>
        <v>378627.05459801457</v>
      </c>
    </row>
    <row r="95" spans="1:45" x14ac:dyDescent="0.2">
      <c r="A95" s="4">
        <v>1993.1</v>
      </c>
      <c r="B95" s="44">
        <f>chainindex!AK95/chainindex!AK96*newbrowser!B96</f>
        <v>335271.53271517408</v>
      </c>
      <c r="C95" s="44">
        <f t="shared" si="43"/>
        <v>335614.97320907598</v>
      </c>
      <c r="D95" s="44">
        <f t="shared" si="44"/>
        <v>335614.97320907598</v>
      </c>
      <c r="E95" s="44">
        <f t="shared" si="45"/>
        <v>335614.97320907598</v>
      </c>
      <c r="F95" s="44">
        <f t="shared" si="46"/>
        <v>335614.97320907598</v>
      </c>
      <c r="G95" s="44">
        <f t="shared" si="47"/>
        <v>335458.03294957994</v>
      </c>
      <c r="H95" s="44">
        <f t="shared" si="48"/>
        <v>335458.03294957994</v>
      </c>
      <c r="I95" s="44">
        <f t="shared" si="49"/>
        <v>335458.03294957994</v>
      </c>
      <c r="J95" s="44">
        <f t="shared" si="50"/>
        <v>335458.03294957994</v>
      </c>
      <c r="K95" s="44">
        <f t="shared" si="51"/>
        <v>335458.03294957994</v>
      </c>
      <c r="L95" s="44">
        <f t="shared" si="52"/>
        <v>335458.03294957994</v>
      </c>
      <c r="M95" s="44">
        <f t="shared" si="53"/>
        <v>335458.0348249154</v>
      </c>
      <c r="N95" s="44">
        <f t="shared" si="54"/>
        <v>335492.35346351034</v>
      </c>
      <c r="O95" s="44">
        <f t="shared" si="55"/>
        <v>335492.35346351034</v>
      </c>
      <c r="P95" s="44">
        <f t="shared" si="56"/>
        <v>335492.35346351034</v>
      </c>
      <c r="Q95" s="44">
        <f t="shared" si="57"/>
        <v>335492.35346351034</v>
      </c>
      <c r="R95" s="44">
        <f t="shared" si="58"/>
        <v>335511.20058470604</v>
      </c>
      <c r="S95" s="44">
        <f t="shared" si="59"/>
        <v>335511.20058470604</v>
      </c>
      <c r="T95" s="44">
        <f t="shared" si="60"/>
        <v>335511.20058470604</v>
      </c>
      <c r="U95" s="44">
        <f t="shared" si="61"/>
        <v>335511.20058470604</v>
      </c>
      <c r="V95" s="44">
        <f t="shared" si="62"/>
        <v>355932.10328351695</v>
      </c>
      <c r="W95" s="44">
        <f t="shared" si="63"/>
        <v>355932.10328351695</v>
      </c>
      <c r="X95" s="44">
        <f t="shared" si="64"/>
        <v>355932.10328351695</v>
      </c>
      <c r="Y95" s="44">
        <f t="shared" si="65"/>
        <v>355932.10328351695</v>
      </c>
      <c r="Z95" s="44">
        <f t="shared" si="66"/>
        <v>355646.86476273584</v>
      </c>
      <c r="AA95" s="44">
        <f t="shared" si="67"/>
        <v>355646.86476273584</v>
      </c>
      <c r="AB95" s="44">
        <f t="shared" si="68"/>
        <v>355646.86476273584</v>
      </c>
      <c r="AC95" s="44">
        <f t="shared" si="69"/>
        <v>355646.86476273584</v>
      </c>
      <c r="AD95" s="44">
        <f t="shared" si="70"/>
        <v>356152.64273153711</v>
      </c>
      <c r="AE95" s="44">
        <f t="shared" si="71"/>
        <v>356152.64273153711</v>
      </c>
      <c r="AF95" s="44">
        <f t="shared" si="72"/>
        <v>356152.64273153711</v>
      </c>
      <c r="AG95" s="44">
        <f t="shared" si="73"/>
        <v>356152.64273153711</v>
      </c>
      <c r="AH95" s="44">
        <f t="shared" si="74"/>
        <v>356260.00568561151</v>
      </c>
      <c r="AI95" s="44">
        <f t="shared" si="75"/>
        <v>356260.00568561151</v>
      </c>
      <c r="AJ95" s="44">
        <f t="shared" si="76"/>
        <v>356260.00568561151</v>
      </c>
      <c r="AK95" s="44">
        <f t="shared" si="77"/>
        <v>356260.00568561151</v>
      </c>
      <c r="AL95" s="44">
        <f t="shared" si="78"/>
        <v>355905.66105377983</v>
      </c>
      <c r="AM95" s="44">
        <f t="shared" si="79"/>
        <v>355905.66105377983</v>
      </c>
      <c r="AN95" s="44">
        <f t="shared" si="80"/>
        <v>355905.66105377983</v>
      </c>
      <c r="AO95" s="44">
        <f t="shared" si="81"/>
        <v>355905.66105377983</v>
      </c>
      <c r="AP95" s="44">
        <f t="shared" si="82"/>
        <v>377828.51990836696</v>
      </c>
      <c r="AQ95" s="44">
        <f t="shared" si="83"/>
        <v>377828.51990836696</v>
      </c>
      <c r="AR95" s="44">
        <f t="shared" si="84"/>
        <v>377828.51990836696</v>
      </c>
      <c r="AS95" s="44">
        <f t="shared" si="85"/>
        <v>377828.51990836696</v>
      </c>
    </row>
    <row r="96" spans="1:45" x14ac:dyDescent="0.2">
      <c r="A96" s="4">
        <v>1993.2</v>
      </c>
      <c r="B96" s="44">
        <f>chainindex!AK96/chainindex!AK97*newbrowser!B97</f>
        <v>334704.65978691692</v>
      </c>
      <c r="C96" s="44">
        <f t="shared" si="43"/>
        <v>335047.51959591283</v>
      </c>
      <c r="D96" s="44">
        <f t="shared" si="44"/>
        <v>335047.51959591283</v>
      </c>
      <c r="E96" s="44">
        <f t="shared" si="45"/>
        <v>335047.51959591283</v>
      </c>
      <c r="F96" s="44">
        <f t="shared" si="46"/>
        <v>335047.51959591283</v>
      </c>
      <c r="G96" s="44">
        <f t="shared" si="47"/>
        <v>334890.84468905121</v>
      </c>
      <c r="H96" s="44">
        <f t="shared" si="48"/>
        <v>334890.84468905121</v>
      </c>
      <c r="I96" s="44">
        <f t="shared" si="49"/>
        <v>334890.84468905121</v>
      </c>
      <c r="J96" s="44">
        <f t="shared" si="50"/>
        <v>334890.84468905121</v>
      </c>
      <c r="K96" s="44">
        <f t="shared" si="51"/>
        <v>334890.84468905121</v>
      </c>
      <c r="L96" s="44">
        <f t="shared" si="52"/>
        <v>334890.84468905121</v>
      </c>
      <c r="M96" s="44">
        <f t="shared" si="53"/>
        <v>334890.84656121588</v>
      </c>
      <c r="N96" s="44">
        <f t="shared" si="54"/>
        <v>334925.10717428447</v>
      </c>
      <c r="O96" s="44">
        <f t="shared" si="55"/>
        <v>334925.10717428447</v>
      </c>
      <c r="P96" s="44">
        <f t="shared" si="56"/>
        <v>334925.10717428447</v>
      </c>
      <c r="Q96" s="44">
        <f t="shared" si="57"/>
        <v>334925.10717428447</v>
      </c>
      <c r="R96" s="44">
        <f t="shared" si="58"/>
        <v>334943.92242900259</v>
      </c>
      <c r="S96" s="44">
        <f t="shared" si="59"/>
        <v>334943.92242900259</v>
      </c>
      <c r="T96" s="44">
        <f t="shared" si="60"/>
        <v>334943.92242900259</v>
      </c>
      <c r="U96" s="44">
        <f t="shared" si="61"/>
        <v>334943.92242900259</v>
      </c>
      <c r="V96" s="44">
        <f t="shared" si="62"/>
        <v>355330.29772008286</v>
      </c>
      <c r="W96" s="44">
        <f t="shared" si="63"/>
        <v>355330.29772008286</v>
      </c>
      <c r="X96" s="44">
        <f t="shared" si="64"/>
        <v>355330.29772008286</v>
      </c>
      <c r="Y96" s="44">
        <f t="shared" si="65"/>
        <v>355330.29772008286</v>
      </c>
      <c r="Z96" s="44">
        <f t="shared" si="66"/>
        <v>355045.54147703713</v>
      </c>
      <c r="AA96" s="44">
        <f t="shared" si="67"/>
        <v>355045.54147703713</v>
      </c>
      <c r="AB96" s="44">
        <f t="shared" si="68"/>
        <v>355045.54147703713</v>
      </c>
      <c r="AC96" s="44">
        <f t="shared" si="69"/>
        <v>355045.54147703713</v>
      </c>
      <c r="AD96" s="44">
        <f t="shared" si="70"/>
        <v>355550.46428275341</v>
      </c>
      <c r="AE96" s="44">
        <f t="shared" si="71"/>
        <v>355550.46428275341</v>
      </c>
      <c r="AF96" s="44">
        <f t="shared" si="72"/>
        <v>355550.46428275341</v>
      </c>
      <c r="AG96" s="44">
        <f t="shared" si="73"/>
        <v>355550.46428275341</v>
      </c>
      <c r="AH96" s="44">
        <f t="shared" si="74"/>
        <v>355657.64570888336</v>
      </c>
      <c r="AI96" s="44">
        <f t="shared" si="75"/>
        <v>355657.64570888336</v>
      </c>
      <c r="AJ96" s="44">
        <f t="shared" si="76"/>
        <v>355657.64570888336</v>
      </c>
      <c r="AK96" s="44">
        <f t="shared" si="77"/>
        <v>355657.64570888336</v>
      </c>
      <c r="AL96" s="44">
        <f t="shared" si="78"/>
        <v>355303.90019853821</v>
      </c>
      <c r="AM96" s="44">
        <f t="shared" si="79"/>
        <v>355303.90019853821</v>
      </c>
      <c r="AN96" s="44">
        <f t="shared" si="80"/>
        <v>355303.90019853821</v>
      </c>
      <c r="AO96" s="44">
        <f t="shared" si="81"/>
        <v>355303.90019853821</v>
      </c>
      <c r="AP96" s="44">
        <f t="shared" si="82"/>
        <v>377189.69215664885</v>
      </c>
      <c r="AQ96" s="44">
        <f t="shared" si="83"/>
        <v>377189.69215664885</v>
      </c>
      <c r="AR96" s="44">
        <f t="shared" si="84"/>
        <v>377189.69215664885</v>
      </c>
      <c r="AS96" s="44">
        <f t="shared" si="85"/>
        <v>377189.69215664885</v>
      </c>
    </row>
    <row r="97" spans="1:45" x14ac:dyDescent="0.2">
      <c r="A97" s="4">
        <v>1993.3</v>
      </c>
      <c r="B97" s="44">
        <f>chainindex!AK97/chainindex!AK98*newbrowser!B98</f>
        <v>333906.357085197</v>
      </c>
      <c r="C97" s="44">
        <f t="shared" si="43"/>
        <v>334248.39914067852</v>
      </c>
      <c r="D97" s="44">
        <f t="shared" si="44"/>
        <v>334248.39914067852</v>
      </c>
      <c r="E97" s="44">
        <f t="shared" si="45"/>
        <v>334248.39914067852</v>
      </c>
      <c r="F97" s="44">
        <f t="shared" si="46"/>
        <v>334248.39914067852</v>
      </c>
      <c r="G97" s="44">
        <f t="shared" si="47"/>
        <v>334092.09791849018</v>
      </c>
      <c r="H97" s="44">
        <f t="shared" si="48"/>
        <v>334092.09791849018</v>
      </c>
      <c r="I97" s="44">
        <f t="shared" si="49"/>
        <v>334092.09791849018</v>
      </c>
      <c r="J97" s="44">
        <f t="shared" si="50"/>
        <v>334092.09791849018</v>
      </c>
      <c r="K97" s="44">
        <f t="shared" si="51"/>
        <v>334092.09791849018</v>
      </c>
      <c r="L97" s="44">
        <f t="shared" si="52"/>
        <v>334092.09791849018</v>
      </c>
      <c r="M97" s="44">
        <f t="shared" si="53"/>
        <v>334092.09978618956</v>
      </c>
      <c r="N97" s="44">
        <f t="shared" si="54"/>
        <v>334126.27868441143</v>
      </c>
      <c r="O97" s="44">
        <f t="shared" si="55"/>
        <v>334126.27868441143</v>
      </c>
      <c r="P97" s="44">
        <f t="shared" si="56"/>
        <v>334126.27868441143</v>
      </c>
      <c r="Q97" s="44">
        <f t="shared" si="57"/>
        <v>334126.27868441143</v>
      </c>
      <c r="R97" s="44">
        <f t="shared" si="58"/>
        <v>334145.0490629432</v>
      </c>
      <c r="S97" s="44">
        <f t="shared" si="59"/>
        <v>334145.0490629432</v>
      </c>
      <c r="T97" s="44">
        <f t="shared" si="60"/>
        <v>334145.0490629432</v>
      </c>
      <c r="U97" s="44">
        <f t="shared" si="61"/>
        <v>334145.0490629432</v>
      </c>
      <c r="V97" s="44">
        <f t="shared" si="62"/>
        <v>354482.80089451291</v>
      </c>
      <c r="W97" s="44">
        <f t="shared" si="63"/>
        <v>354482.80089451291</v>
      </c>
      <c r="X97" s="44">
        <f t="shared" si="64"/>
        <v>354482.80089451291</v>
      </c>
      <c r="Y97" s="44">
        <f t="shared" si="65"/>
        <v>354482.80089451291</v>
      </c>
      <c r="Z97" s="44">
        <f t="shared" si="66"/>
        <v>354198.72382240643</v>
      </c>
      <c r="AA97" s="44">
        <f t="shared" si="67"/>
        <v>354198.72382240643</v>
      </c>
      <c r="AB97" s="44">
        <f t="shared" si="68"/>
        <v>354198.72382240643</v>
      </c>
      <c r="AC97" s="44">
        <f t="shared" si="69"/>
        <v>354198.72382240643</v>
      </c>
      <c r="AD97" s="44">
        <f t="shared" si="70"/>
        <v>354702.44233882416</v>
      </c>
      <c r="AE97" s="44">
        <f t="shared" si="71"/>
        <v>354702.44233882416</v>
      </c>
      <c r="AF97" s="44">
        <f t="shared" si="72"/>
        <v>354702.44233882416</v>
      </c>
      <c r="AG97" s="44">
        <f t="shared" si="73"/>
        <v>354702.44233882416</v>
      </c>
      <c r="AH97" s="44">
        <f t="shared" si="74"/>
        <v>354809.36812697729</v>
      </c>
      <c r="AI97" s="44">
        <f t="shared" si="75"/>
        <v>354809.36812697729</v>
      </c>
      <c r="AJ97" s="44">
        <f t="shared" si="76"/>
        <v>354809.36812697729</v>
      </c>
      <c r="AK97" s="44">
        <f t="shared" si="77"/>
        <v>354809.36812697729</v>
      </c>
      <c r="AL97" s="44">
        <f t="shared" si="78"/>
        <v>354456.46633358789</v>
      </c>
      <c r="AM97" s="44">
        <f t="shared" si="79"/>
        <v>354456.46633358789</v>
      </c>
      <c r="AN97" s="44">
        <f t="shared" si="80"/>
        <v>354456.46633358789</v>
      </c>
      <c r="AO97" s="44">
        <f t="shared" si="81"/>
        <v>354456.46633358789</v>
      </c>
      <c r="AP97" s="44">
        <f t="shared" si="82"/>
        <v>376290.05857968808</v>
      </c>
      <c r="AQ97" s="44">
        <f t="shared" si="83"/>
        <v>376290.05857968808</v>
      </c>
      <c r="AR97" s="44">
        <f t="shared" si="84"/>
        <v>376290.05857968808</v>
      </c>
      <c r="AS97" s="44">
        <f t="shared" si="85"/>
        <v>376290.05857968808</v>
      </c>
    </row>
    <row r="98" spans="1:45" x14ac:dyDescent="0.2">
      <c r="A98" s="4">
        <v>1993.4</v>
      </c>
      <c r="B98" s="44">
        <f>chainindex!AK98/chainindex!AK99*newbrowser!B99</f>
        <v>336393.57706628856</v>
      </c>
      <c r="C98" s="44">
        <f t="shared" si="43"/>
        <v>336738.16694338748</v>
      </c>
      <c r="D98" s="44">
        <f t="shared" si="44"/>
        <v>336738.16694338748</v>
      </c>
      <c r="E98" s="44">
        <f t="shared" si="45"/>
        <v>336738.16694338748</v>
      </c>
      <c r="F98" s="44">
        <f t="shared" si="46"/>
        <v>336738.16694338748</v>
      </c>
      <c r="G98" s="44">
        <f t="shared" si="47"/>
        <v>336580.70145608514</v>
      </c>
      <c r="H98" s="44">
        <f t="shared" si="48"/>
        <v>336580.70145608514</v>
      </c>
      <c r="I98" s="44">
        <f t="shared" si="49"/>
        <v>336580.70145608514</v>
      </c>
      <c r="J98" s="44">
        <f t="shared" si="50"/>
        <v>336580.70145608514</v>
      </c>
      <c r="K98" s="44">
        <f t="shared" si="51"/>
        <v>336580.70145608514</v>
      </c>
      <c r="L98" s="44">
        <f t="shared" si="52"/>
        <v>336580.70145608514</v>
      </c>
      <c r="M98" s="44">
        <f t="shared" si="53"/>
        <v>336580.70333769673</v>
      </c>
      <c r="N98" s="44">
        <f t="shared" si="54"/>
        <v>336615.1368295697</v>
      </c>
      <c r="O98" s="44">
        <f t="shared" si="55"/>
        <v>336615.1368295697</v>
      </c>
      <c r="P98" s="44">
        <f t="shared" si="56"/>
        <v>336615.1368295697</v>
      </c>
      <c r="Q98" s="44">
        <f t="shared" si="57"/>
        <v>336615.1368295697</v>
      </c>
      <c r="R98" s="44">
        <f t="shared" si="58"/>
        <v>336634.04702592629</v>
      </c>
      <c r="S98" s="44">
        <f t="shared" si="59"/>
        <v>336634.04702592629</v>
      </c>
      <c r="T98" s="44">
        <f t="shared" si="60"/>
        <v>336634.04702592629</v>
      </c>
      <c r="U98" s="44">
        <f t="shared" si="61"/>
        <v>336634.04702592629</v>
      </c>
      <c r="V98" s="44">
        <f t="shared" si="62"/>
        <v>357123.29181847925</v>
      </c>
      <c r="W98" s="44">
        <f t="shared" si="63"/>
        <v>357123.29181847925</v>
      </c>
      <c r="X98" s="44">
        <f t="shared" si="64"/>
        <v>357123.29181847925</v>
      </c>
      <c r="Y98" s="44">
        <f t="shared" si="65"/>
        <v>357123.29181847925</v>
      </c>
      <c r="Z98" s="44">
        <f t="shared" si="66"/>
        <v>356837.09869750182</v>
      </c>
      <c r="AA98" s="44">
        <f t="shared" si="67"/>
        <v>356837.09869750182</v>
      </c>
      <c r="AB98" s="44">
        <f t="shared" si="68"/>
        <v>356837.09869750182</v>
      </c>
      <c r="AC98" s="44">
        <f t="shared" si="69"/>
        <v>356837.09869750182</v>
      </c>
      <c r="AD98" s="44">
        <f t="shared" si="70"/>
        <v>357344.56934002403</v>
      </c>
      <c r="AE98" s="44">
        <f t="shared" si="71"/>
        <v>357344.56934002403</v>
      </c>
      <c r="AF98" s="44">
        <f t="shared" si="72"/>
        <v>357344.56934002403</v>
      </c>
      <c r="AG98" s="44">
        <f t="shared" si="73"/>
        <v>357344.56934002403</v>
      </c>
      <c r="AH98" s="44">
        <f t="shared" si="74"/>
        <v>357452.29160285078</v>
      </c>
      <c r="AI98" s="44">
        <f t="shared" si="75"/>
        <v>357452.29160285078</v>
      </c>
      <c r="AJ98" s="44">
        <f t="shared" si="76"/>
        <v>357452.29160285078</v>
      </c>
      <c r="AK98" s="44">
        <f t="shared" si="77"/>
        <v>357452.29160285078</v>
      </c>
      <c r="AL98" s="44">
        <f t="shared" si="78"/>
        <v>357096.7610952328</v>
      </c>
      <c r="AM98" s="44">
        <f t="shared" si="79"/>
        <v>357096.7610952328</v>
      </c>
      <c r="AN98" s="44">
        <f t="shared" si="80"/>
        <v>357096.7610952328</v>
      </c>
      <c r="AO98" s="44">
        <f t="shared" si="81"/>
        <v>357096.7610952328</v>
      </c>
      <c r="AP98" s="44">
        <f t="shared" si="82"/>
        <v>379092.98860041448</v>
      </c>
      <c r="AQ98" s="44">
        <f t="shared" si="83"/>
        <v>379092.98860041448</v>
      </c>
      <c r="AR98" s="44">
        <f t="shared" si="84"/>
        <v>379092.98860041448</v>
      </c>
      <c r="AS98" s="44">
        <f t="shared" si="85"/>
        <v>379092.98860041448</v>
      </c>
    </row>
    <row r="99" spans="1:45" x14ac:dyDescent="0.2">
      <c r="A99" s="4">
        <v>1994.1</v>
      </c>
      <c r="B99" s="44">
        <f>chainindex!AK99/chainindex!AK100*newbrowser!B100</f>
        <v>338342.52779898921</v>
      </c>
      <c r="C99" s="44">
        <f t="shared" si="43"/>
        <v>338689.11411341408</v>
      </c>
      <c r="D99" s="44">
        <f t="shared" si="44"/>
        <v>338689.11411341408</v>
      </c>
      <c r="E99" s="44">
        <f t="shared" si="45"/>
        <v>338689.11411341408</v>
      </c>
      <c r="F99" s="44">
        <f t="shared" si="46"/>
        <v>338689.11411341408</v>
      </c>
      <c r="G99" s="44">
        <f t="shared" si="47"/>
        <v>338530.7363242791</v>
      </c>
      <c r="H99" s="44">
        <f t="shared" si="48"/>
        <v>338530.7363242791</v>
      </c>
      <c r="I99" s="44">
        <f t="shared" si="49"/>
        <v>338530.7363242791</v>
      </c>
      <c r="J99" s="44">
        <f t="shared" si="50"/>
        <v>338530.7363242791</v>
      </c>
      <c r="K99" s="44">
        <f t="shared" si="51"/>
        <v>338530.7363242791</v>
      </c>
      <c r="L99" s="44">
        <f t="shared" si="52"/>
        <v>338530.7363242791</v>
      </c>
      <c r="M99" s="44">
        <f t="shared" si="53"/>
        <v>338530.73821679212</v>
      </c>
      <c r="N99" s="44">
        <f t="shared" si="54"/>
        <v>338565.37120468338</v>
      </c>
      <c r="O99" s="44">
        <f t="shared" si="55"/>
        <v>338565.37120468338</v>
      </c>
      <c r="P99" s="44">
        <f t="shared" si="56"/>
        <v>338565.37120468338</v>
      </c>
      <c r="Q99" s="44">
        <f t="shared" si="57"/>
        <v>338565.37120468338</v>
      </c>
      <c r="R99" s="44">
        <f t="shared" si="58"/>
        <v>338584.39096032869</v>
      </c>
      <c r="S99" s="44">
        <f t="shared" si="59"/>
        <v>338584.39096032869</v>
      </c>
      <c r="T99" s="44">
        <f t="shared" si="60"/>
        <v>338584.39096032869</v>
      </c>
      <c r="U99" s="44">
        <f t="shared" si="61"/>
        <v>338584.39096032869</v>
      </c>
      <c r="V99" s="44">
        <f t="shared" si="62"/>
        <v>359192.34351478121</v>
      </c>
      <c r="W99" s="44">
        <f t="shared" si="63"/>
        <v>359192.34351478121</v>
      </c>
      <c r="X99" s="44">
        <f t="shared" si="64"/>
        <v>359192.34351478121</v>
      </c>
      <c r="Y99" s="44">
        <f t="shared" si="65"/>
        <v>359192.34351478121</v>
      </c>
      <c r="Z99" s="44">
        <f t="shared" si="66"/>
        <v>358904.49228755309</v>
      </c>
      <c r="AA99" s="44">
        <f t="shared" si="67"/>
        <v>358904.49228755309</v>
      </c>
      <c r="AB99" s="44">
        <f t="shared" si="68"/>
        <v>358904.49228755309</v>
      </c>
      <c r="AC99" s="44">
        <f t="shared" si="69"/>
        <v>358904.49228755309</v>
      </c>
      <c r="AD99" s="44">
        <f t="shared" si="70"/>
        <v>359414.9030435257</v>
      </c>
      <c r="AE99" s="44">
        <f t="shared" si="71"/>
        <v>359414.9030435257</v>
      </c>
      <c r="AF99" s="44">
        <f t="shared" si="72"/>
        <v>359414.9030435257</v>
      </c>
      <c r="AG99" s="44">
        <f t="shared" si="73"/>
        <v>359414.9030435257</v>
      </c>
      <c r="AH99" s="44">
        <f t="shared" si="74"/>
        <v>359523.24941274861</v>
      </c>
      <c r="AI99" s="44">
        <f t="shared" si="75"/>
        <v>359523.24941274861</v>
      </c>
      <c r="AJ99" s="44">
        <f t="shared" si="76"/>
        <v>359523.24941274861</v>
      </c>
      <c r="AK99" s="44">
        <f t="shared" si="77"/>
        <v>359523.24941274861</v>
      </c>
      <c r="AL99" s="44">
        <f t="shared" si="78"/>
        <v>359165.65908148786</v>
      </c>
      <c r="AM99" s="44">
        <f t="shared" si="79"/>
        <v>359165.65908148786</v>
      </c>
      <c r="AN99" s="44">
        <f t="shared" si="80"/>
        <v>359165.65908148786</v>
      </c>
      <c r="AO99" s="44">
        <f t="shared" si="81"/>
        <v>359165.65908148786</v>
      </c>
      <c r="AP99" s="44">
        <f t="shared" si="82"/>
        <v>381289.32529726188</v>
      </c>
      <c r="AQ99" s="44">
        <f t="shared" si="83"/>
        <v>381289.32529726188</v>
      </c>
      <c r="AR99" s="44">
        <f t="shared" si="84"/>
        <v>381289.32529726188</v>
      </c>
      <c r="AS99" s="44">
        <f t="shared" si="85"/>
        <v>381289.32529726188</v>
      </c>
    </row>
    <row r="100" spans="1:45" x14ac:dyDescent="0.2">
      <c r="A100" s="4">
        <v>1994.2</v>
      </c>
      <c r="B100" s="44">
        <f>chainindex!AK100/chainindex!AK101*newbrowser!B101</f>
        <v>341158.69009854196</v>
      </c>
      <c r="C100" s="44">
        <f t="shared" si="43"/>
        <v>341508.16119165125</v>
      </c>
      <c r="D100" s="44">
        <f t="shared" si="44"/>
        <v>341508.16119165125</v>
      </c>
      <c r="E100" s="44">
        <f t="shared" si="45"/>
        <v>341508.16119165125</v>
      </c>
      <c r="F100" s="44">
        <f t="shared" si="46"/>
        <v>341508.16119165125</v>
      </c>
      <c r="G100" s="44">
        <f t="shared" si="47"/>
        <v>341348.46515984146</v>
      </c>
      <c r="H100" s="44">
        <f t="shared" si="48"/>
        <v>341348.46515984146</v>
      </c>
      <c r="I100" s="44">
        <f t="shared" si="49"/>
        <v>341348.46515984146</v>
      </c>
      <c r="J100" s="44">
        <f t="shared" si="50"/>
        <v>341348.46515984146</v>
      </c>
      <c r="K100" s="44">
        <f t="shared" si="51"/>
        <v>341348.46515984146</v>
      </c>
      <c r="L100" s="44">
        <f t="shared" si="52"/>
        <v>341348.46515984146</v>
      </c>
      <c r="M100" s="44">
        <f t="shared" si="53"/>
        <v>341348.46706810663</v>
      </c>
      <c r="N100" s="44">
        <f t="shared" si="54"/>
        <v>341383.38832042465</v>
      </c>
      <c r="O100" s="44">
        <f t="shared" si="55"/>
        <v>341383.38832042465</v>
      </c>
      <c r="P100" s="44">
        <f t="shared" si="56"/>
        <v>341383.38832042465</v>
      </c>
      <c r="Q100" s="44">
        <f t="shared" si="57"/>
        <v>341383.38832042465</v>
      </c>
      <c r="R100" s="44">
        <f t="shared" si="58"/>
        <v>341402.56638522237</v>
      </c>
      <c r="S100" s="44">
        <f t="shared" si="59"/>
        <v>341402.56638522237</v>
      </c>
      <c r="T100" s="44">
        <f t="shared" si="60"/>
        <v>341402.56638522237</v>
      </c>
      <c r="U100" s="44">
        <f t="shared" si="61"/>
        <v>341402.56638522237</v>
      </c>
      <c r="V100" s="44">
        <f t="shared" si="62"/>
        <v>362182.04730009817</v>
      </c>
      <c r="W100" s="44">
        <f t="shared" si="63"/>
        <v>362182.04730009817</v>
      </c>
      <c r="X100" s="44">
        <f t="shared" si="64"/>
        <v>362182.04730009817</v>
      </c>
      <c r="Y100" s="44">
        <f t="shared" si="65"/>
        <v>362182.04730009817</v>
      </c>
      <c r="Z100" s="44">
        <f t="shared" si="66"/>
        <v>361891.80017017561</v>
      </c>
      <c r="AA100" s="44">
        <f t="shared" si="67"/>
        <v>361891.80017017561</v>
      </c>
      <c r="AB100" s="44">
        <f t="shared" si="68"/>
        <v>361891.80017017561</v>
      </c>
      <c r="AC100" s="44">
        <f t="shared" si="69"/>
        <v>361891.80017017561</v>
      </c>
      <c r="AD100" s="44">
        <f t="shared" si="70"/>
        <v>362406.459282208</v>
      </c>
      <c r="AE100" s="44">
        <f t="shared" si="71"/>
        <v>362406.459282208</v>
      </c>
      <c r="AF100" s="44">
        <f t="shared" si="72"/>
        <v>362406.459282208</v>
      </c>
      <c r="AG100" s="44">
        <f t="shared" si="73"/>
        <v>362406.459282208</v>
      </c>
      <c r="AH100" s="44">
        <f t="shared" si="74"/>
        <v>362515.70746227418</v>
      </c>
      <c r="AI100" s="44">
        <f t="shared" si="75"/>
        <v>362515.70746227418</v>
      </c>
      <c r="AJ100" s="44">
        <f t="shared" si="76"/>
        <v>362515.70746227418</v>
      </c>
      <c r="AK100" s="44">
        <f t="shared" si="77"/>
        <v>362515.70746227418</v>
      </c>
      <c r="AL100" s="44">
        <f t="shared" si="78"/>
        <v>362155.14076142682</v>
      </c>
      <c r="AM100" s="44">
        <f t="shared" si="79"/>
        <v>362155.14076142682</v>
      </c>
      <c r="AN100" s="44">
        <f t="shared" si="80"/>
        <v>362155.14076142682</v>
      </c>
      <c r="AO100" s="44">
        <f t="shared" si="81"/>
        <v>362155.14076142682</v>
      </c>
      <c r="AP100" s="44">
        <f t="shared" si="82"/>
        <v>384462.9512381368</v>
      </c>
      <c r="AQ100" s="44">
        <f t="shared" si="83"/>
        <v>384462.9512381368</v>
      </c>
      <c r="AR100" s="44">
        <f t="shared" si="84"/>
        <v>384462.9512381368</v>
      </c>
      <c r="AS100" s="44">
        <f t="shared" si="85"/>
        <v>384462.9512381368</v>
      </c>
    </row>
    <row r="101" spans="1:45" x14ac:dyDescent="0.2">
      <c r="A101" s="4">
        <v>1994.3</v>
      </c>
      <c r="B101" s="44">
        <f>chainindex!AK101/chainindex!AK102*newbrowser!B102</f>
        <v>344012.55724882736</v>
      </c>
      <c r="C101" s="44">
        <f t="shared" si="43"/>
        <v>344364.95174415834</v>
      </c>
      <c r="D101" s="44">
        <f t="shared" si="44"/>
        <v>344364.95174415834</v>
      </c>
      <c r="E101" s="44">
        <f t="shared" si="45"/>
        <v>344364.95174415834</v>
      </c>
      <c r="F101" s="44">
        <f t="shared" si="46"/>
        <v>344364.95174415834</v>
      </c>
      <c r="G101" s="44">
        <f t="shared" si="47"/>
        <v>344203.9198200719</v>
      </c>
      <c r="H101" s="44">
        <f t="shared" si="48"/>
        <v>344203.9198200719</v>
      </c>
      <c r="I101" s="44">
        <f t="shared" si="49"/>
        <v>344203.9198200719</v>
      </c>
      <c r="J101" s="44">
        <f t="shared" si="50"/>
        <v>344203.9198200719</v>
      </c>
      <c r="K101" s="44">
        <f t="shared" si="51"/>
        <v>344203.9198200719</v>
      </c>
      <c r="L101" s="44">
        <f t="shared" si="52"/>
        <v>344203.9198200719</v>
      </c>
      <c r="M101" s="44">
        <f t="shared" si="53"/>
        <v>344203.92174430011</v>
      </c>
      <c r="N101" s="44">
        <f t="shared" si="54"/>
        <v>344239.13512054092</v>
      </c>
      <c r="O101" s="44">
        <f t="shared" si="55"/>
        <v>344239.13512054092</v>
      </c>
      <c r="P101" s="44">
        <f t="shared" si="56"/>
        <v>344239.13512054092</v>
      </c>
      <c r="Q101" s="44">
        <f t="shared" si="57"/>
        <v>344239.13512054092</v>
      </c>
      <c r="R101" s="44">
        <f t="shared" si="58"/>
        <v>344258.47361405031</v>
      </c>
      <c r="S101" s="44">
        <f t="shared" si="59"/>
        <v>344258.47361405031</v>
      </c>
      <c r="T101" s="44">
        <f t="shared" si="60"/>
        <v>344258.47361405031</v>
      </c>
      <c r="U101" s="44">
        <f t="shared" si="61"/>
        <v>344258.47361405031</v>
      </c>
      <c r="V101" s="44">
        <f t="shared" si="62"/>
        <v>365211.77943711128</v>
      </c>
      <c r="W101" s="44">
        <f t="shared" si="63"/>
        <v>365211.77943711128</v>
      </c>
      <c r="X101" s="44">
        <f t="shared" si="64"/>
        <v>365211.77943711128</v>
      </c>
      <c r="Y101" s="44">
        <f t="shared" si="65"/>
        <v>365211.77943711128</v>
      </c>
      <c r="Z101" s="44">
        <f t="shared" si="66"/>
        <v>364919.10432638798</v>
      </c>
      <c r="AA101" s="44">
        <f t="shared" si="67"/>
        <v>364919.10432638798</v>
      </c>
      <c r="AB101" s="44">
        <f t="shared" si="68"/>
        <v>364919.10432638798</v>
      </c>
      <c r="AC101" s="44">
        <f t="shared" si="69"/>
        <v>364919.10432638798</v>
      </c>
      <c r="AD101" s="44">
        <f t="shared" si="70"/>
        <v>365438.06867459358</v>
      </c>
      <c r="AE101" s="44">
        <f t="shared" si="71"/>
        <v>365438.06867459358</v>
      </c>
      <c r="AF101" s="44">
        <f t="shared" si="72"/>
        <v>365438.06867459358</v>
      </c>
      <c r="AG101" s="44">
        <f t="shared" si="73"/>
        <v>365438.06867459358</v>
      </c>
      <c r="AH101" s="44">
        <f t="shared" si="74"/>
        <v>365548.2307396094</v>
      </c>
      <c r="AI101" s="44">
        <f t="shared" si="75"/>
        <v>365548.2307396094</v>
      </c>
      <c r="AJ101" s="44">
        <f t="shared" si="76"/>
        <v>365548.2307396094</v>
      </c>
      <c r="AK101" s="44">
        <f t="shared" si="77"/>
        <v>365548.2307396094</v>
      </c>
      <c r="AL101" s="44">
        <f t="shared" si="78"/>
        <v>365184.64781935187</v>
      </c>
      <c r="AM101" s="44">
        <f t="shared" si="79"/>
        <v>365184.64781935187</v>
      </c>
      <c r="AN101" s="44">
        <f t="shared" si="80"/>
        <v>365184.64781935187</v>
      </c>
      <c r="AO101" s="44">
        <f t="shared" si="81"/>
        <v>365184.64781935187</v>
      </c>
      <c r="AP101" s="44">
        <f t="shared" si="82"/>
        <v>387679.06801570841</v>
      </c>
      <c r="AQ101" s="44">
        <f t="shared" si="83"/>
        <v>387679.06801570841</v>
      </c>
      <c r="AR101" s="44">
        <f t="shared" si="84"/>
        <v>387679.06801570841</v>
      </c>
      <c r="AS101" s="44">
        <f t="shared" si="85"/>
        <v>387679.06801570841</v>
      </c>
    </row>
    <row r="102" spans="1:45" x14ac:dyDescent="0.2">
      <c r="A102" s="4">
        <v>1994.4</v>
      </c>
      <c r="B102" s="44">
        <f>chainindex!AK102/chainindex!AK103*newbrowser!B103</f>
        <v>347294.17942983902</v>
      </c>
      <c r="C102" s="44">
        <f t="shared" si="43"/>
        <v>347649.9355047635</v>
      </c>
      <c r="D102" s="44">
        <f t="shared" si="44"/>
        <v>347649.9355047635</v>
      </c>
      <c r="E102" s="44">
        <f t="shared" si="45"/>
        <v>347649.9355047635</v>
      </c>
      <c r="F102" s="44">
        <f t="shared" si="46"/>
        <v>347649.9355047635</v>
      </c>
      <c r="G102" s="44">
        <f t="shared" si="47"/>
        <v>347487.36745671066</v>
      </c>
      <c r="H102" s="44">
        <f t="shared" si="48"/>
        <v>347487.36745671066</v>
      </c>
      <c r="I102" s="44">
        <f t="shared" si="49"/>
        <v>347487.36745671066</v>
      </c>
      <c r="J102" s="44">
        <f t="shared" si="50"/>
        <v>347487.36745671066</v>
      </c>
      <c r="K102" s="44">
        <f t="shared" si="51"/>
        <v>347487.36745671066</v>
      </c>
      <c r="L102" s="44">
        <f t="shared" si="52"/>
        <v>347487.36745671066</v>
      </c>
      <c r="M102" s="44">
        <f t="shared" si="53"/>
        <v>347487.36939929461</v>
      </c>
      <c r="N102" s="44">
        <f t="shared" si="54"/>
        <v>347522.91868477507</v>
      </c>
      <c r="O102" s="44">
        <f t="shared" si="55"/>
        <v>347522.91868477507</v>
      </c>
      <c r="P102" s="44">
        <f t="shared" si="56"/>
        <v>347522.91868477507</v>
      </c>
      <c r="Q102" s="44">
        <f t="shared" si="57"/>
        <v>347522.91868477507</v>
      </c>
      <c r="R102" s="44">
        <f t="shared" si="58"/>
        <v>347542.44165303081</v>
      </c>
      <c r="S102" s="44">
        <f t="shared" si="59"/>
        <v>347542.44165303081</v>
      </c>
      <c r="T102" s="44">
        <f t="shared" si="60"/>
        <v>347542.44165303081</v>
      </c>
      <c r="U102" s="44">
        <f t="shared" si="61"/>
        <v>347542.44165303081</v>
      </c>
      <c r="V102" s="44">
        <f t="shared" si="62"/>
        <v>368695.62632267922</v>
      </c>
      <c r="W102" s="44">
        <f t="shared" si="63"/>
        <v>368695.62632267922</v>
      </c>
      <c r="X102" s="44">
        <f t="shared" si="64"/>
        <v>368695.62632267922</v>
      </c>
      <c r="Y102" s="44">
        <f t="shared" si="65"/>
        <v>368695.62632267922</v>
      </c>
      <c r="Z102" s="44">
        <f t="shared" si="66"/>
        <v>368400.15931057051</v>
      </c>
      <c r="AA102" s="44">
        <f t="shared" si="67"/>
        <v>368400.15931057051</v>
      </c>
      <c r="AB102" s="44">
        <f t="shared" si="68"/>
        <v>368400.15931057051</v>
      </c>
      <c r="AC102" s="44">
        <f t="shared" si="69"/>
        <v>368400.15931057051</v>
      </c>
      <c r="AD102" s="44">
        <f t="shared" si="70"/>
        <v>368924.07419002953</v>
      </c>
      <c r="AE102" s="44">
        <f t="shared" si="71"/>
        <v>368924.07419002953</v>
      </c>
      <c r="AF102" s="44">
        <f t="shared" si="72"/>
        <v>368924.07419002953</v>
      </c>
      <c r="AG102" s="44">
        <f t="shared" si="73"/>
        <v>368924.07419002953</v>
      </c>
      <c r="AH102" s="44">
        <f t="shared" si="74"/>
        <v>369035.28711865033</v>
      </c>
      <c r="AI102" s="44">
        <f t="shared" si="75"/>
        <v>369035.28711865033</v>
      </c>
      <c r="AJ102" s="44">
        <f t="shared" si="76"/>
        <v>369035.28711865033</v>
      </c>
      <c r="AK102" s="44">
        <f t="shared" si="77"/>
        <v>369035.28711865033</v>
      </c>
      <c r="AL102" s="44">
        <f t="shared" si="78"/>
        <v>368668.23588960402</v>
      </c>
      <c r="AM102" s="44">
        <f t="shared" si="79"/>
        <v>368668.23588960402</v>
      </c>
      <c r="AN102" s="44">
        <f t="shared" si="80"/>
        <v>368668.23588960402</v>
      </c>
      <c r="AO102" s="44">
        <f t="shared" si="81"/>
        <v>368668.23588960402</v>
      </c>
      <c r="AP102" s="44">
        <f t="shared" si="82"/>
        <v>391377.2360095997</v>
      </c>
      <c r="AQ102" s="44">
        <f t="shared" si="83"/>
        <v>391377.2360095997</v>
      </c>
      <c r="AR102" s="44">
        <f t="shared" si="84"/>
        <v>391377.2360095997</v>
      </c>
      <c r="AS102" s="44">
        <f t="shared" si="85"/>
        <v>391377.2360095997</v>
      </c>
    </row>
    <row r="103" spans="1:45" x14ac:dyDescent="0.2">
      <c r="A103" s="4">
        <v>1995.1</v>
      </c>
      <c r="B103" s="44">
        <f>chainindex!AK103/chainindex!AK104*newbrowser!B104</f>
        <v>350864.43874404574</v>
      </c>
      <c r="C103" s="44">
        <f t="shared" si="43"/>
        <v>351223.85206840117</v>
      </c>
      <c r="D103" s="44">
        <f t="shared" si="44"/>
        <v>351223.85206840117</v>
      </c>
      <c r="E103" s="44">
        <f t="shared" si="45"/>
        <v>351223.85206840117</v>
      </c>
      <c r="F103" s="44">
        <f t="shared" si="46"/>
        <v>351223.85206840117</v>
      </c>
      <c r="G103" s="44">
        <f t="shared" si="47"/>
        <v>351059.61278563685</v>
      </c>
      <c r="H103" s="44">
        <f t="shared" si="48"/>
        <v>351059.61278563685</v>
      </c>
      <c r="I103" s="44">
        <f t="shared" si="49"/>
        <v>351059.61278563685</v>
      </c>
      <c r="J103" s="44">
        <f t="shared" si="50"/>
        <v>351059.61278563685</v>
      </c>
      <c r="K103" s="44">
        <f t="shared" si="51"/>
        <v>351059.61278563685</v>
      </c>
      <c r="L103" s="44">
        <f t="shared" si="52"/>
        <v>351059.61278563685</v>
      </c>
      <c r="M103" s="44">
        <f t="shared" si="53"/>
        <v>351059.61474819097</v>
      </c>
      <c r="N103" s="44">
        <f t="shared" si="54"/>
        <v>351095.52948801854</v>
      </c>
      <c r="O103" s="44">
        <f t="shared" si="55"/>
        <v>351095.52948801854</v>
      </c>
      <c r="P103" s="44">
        <f t="shared" si="56"/>
        <v>351095.52948801854</v>
      </c>
      <c r="Q103" s="44">
        <f t="shared" si="57"/>
        <v>351095.52948801854</v>
      </c>
      <c r="R103" s="44">
        <f t="shared" si="58"/>
        <v>351115.25315661245</v>
      </c>
      <c r="S103" s="44">
        <f t="shared" si="59"/>
        <v>351115.25315661245</v>
      </c>
      <c r="T103" s="44">
        <f t="shared" si="60"/>
        <v>351115.25315661245</v>
      </c>
      <c r="U103" s="44">
        <f t="shared" si="61"/>
        <v>351115.25315661245</v>
      </c>
      <c r="V103" s="44">
        <f t="shared" si="62"/>
        <v>372485.89714192209</v>
      </c>
      <c r="W103" s="44">
        <f t="shared" si="63"/>
        <v>372485.89714192209</v>
      </c>
      <c r="X103" s="44">
        <f t="shared" si="64"/>
        <v>372485.89714192209</v>
      </c>
      <c r="Y103" s="44">
        <f t="shared" si="65"/>
        <v>372485.89714192209</v>
      </c>
      <c r="Z103" s="44">
        <f t="shared" si="66"/>
        <v>372187.39266499394</v>
      </c>
      <c r="AA103" s="44">
        <f t="shared" si="67"/>
        <v>372187.39266499394</v>
      </c>
      <c r="AB103" s="44">
        <f t="shared" si="68"/>
        <v>372187.39266499394</v>
      </c>
      <c r="AC103" s="44">
        <f t="shared" si="69"/>
        <v>372187.39266499394</v>
      </c>
      <c r="AD103" s="44">
        <f t="shared" si="70"/>
        <v>372716.69350278174</v>
      </c>
      <c r="AE103" s="44">
        <f t="shared" si="71"/>
        <v>372716.69350278174</v>
      </c>
      <c r="AF103" s="44">
        <f t="shared" si="72"/>
        <v>372716.69350278174</v>
      </c>
      <c r="AG103" s="44">
        <f t="shared" si="73"/>
        <v>372716.69350278174</v>
      </c>
      <c r="AH103" s="44">
        <f t="shared" si="74"/>
        <v>372829.04972437368</v>
      </c>
      <c r="AI103" s="44">
        <f t="shared" si="75"/>
        <v>372829.04972437368</v>
      </c>
      <c r="AJ103" s="44">
        <f t="shared" si="76"/>
        <v>372829.04972437368</v>
      </c>
      <c r="AK103" s="44">
        <f t="shared" si="77"/>
        <v>372829.04972437368</v>
      </c>
      <c r="AL103" s="44">
        <f t="shared" si="78"/>
        <v>372458.22512926796</v>
      </c>
      <c r="AM103" s="44">
        <f t="shared" si="79"/>
        <v>372458.22512926796</v>
      </c>
      <c r="AN103" s="44">
        <f t="shared" si="80"/>
        <v>372458.22512926796</v>
      </c>
      <c r="AO103" s="44">
        <f t="shared" si="81"/>
        <v>372458.22512926796</v>
      </c>
      <c r="AP103" s="44">
        <f t="shared" si="82"/>
        <v>395400.67868441145</v>
      </c>
      <c r="AQ103" s="44">
        <f t="shared" si="83"/>
        <v>395400.67868441145</v>
      </c>
      <c r="AR103" s="44">
        <f t="shared" si="84"/>
        <v>395400.67868441145</v>
      </c>
      <c r="AS103" s="44">
        <f t="shared" si="85"/>
        <v>395400.67868441145</v>
      </c>
    </row>
    <row r="104" spans="1:45" x14ac:dyDescent="0.2">
      <c r="A104" s="4">
        <v>1995.2</v>
      </c>
      <c r="B104" s="44">
        <f>chainindex!AK104/chainindex!AK105*newbrowser!B105</f>
        <v>350842.33590051276</v>
      </c>
      <c r="C104" s="44">
        <f t="shared" si="43"/>
        <v>351201.72658348427</v>
      </c>
      <c r="D104" s="44">
        <f t="shared" si="44"/>
        <v>351201.72658348427</v>
      </c>
      <c r="E104" s="44">
        <f t="shared" si="45"/>
        <v>351201.72658348427</v>
      </c>
      <c r="F104" s="44">
        <f t="shared" si="46"/>
        <v>351201.72658348427</v>
      </c>
      <c r="G104" s="44">
        <f t="shared" si="47"/>
        <v>351037.49764703825</v>
      </c>
      <c r="H104" s="44">
        <f t="shared" si="48"/>
        <v>351037.49764703825</v>
      </c>
      <c r="I104" s="44">
        <f t="shared" si="49"/>
        <v>351037.49764703825</v>
      </c>
      <c r="J104" s="44">
        <f t="shared" si="50"/>
        <v>351037.49764703825</v>
      </c>
      <c r="K104" s="44">
        <f t="shared" si="51"/>
        <v>351037.49764703825</v>
      </c>
      <c r="L104" s="44">
        <f t="shared" si="52"/>
        <v>351037.49764703825</v>
      </c>
      <c r="M104" s="44">
        <f t="shared" si="53"/>
        <v>351037.49960946874</v>
      </c>
      <c r="N104" s="44">
        <f t="shared" si="54"/>
        <v>351073.41208683315</v>
      </c>
      <c r="O104" s="44">
        <f t="shared" si="55"/>
        <v>351073.41208683315</v>
      </c>
      <c r="P104" s="44">
        <f t="shared" si="56"/>
        <v>351073.41208683315</v>
      </c>
      <c r="Q104" s="44">
        <f t="shared" si="57"/>
        <v>351073.41208683315</v>
      </c>
      <c r="R104" s="44">
        <f t="shared" si="58"/>
        <v>351093.13451292674</v>
      </c>
      <c r="S104" s="44">
        <f t="shared" si="59"/>
        <v>351093.13451292674</v>
      </c>
      <c r="T104" s="44">
        <f t="shared" si="60"/>
        <v>351093.13451292674</v>
      </c>
      <c r="U104" s="44">
        <f t="shared" si="61"/>
        <v>351093.13451292674</v>
      </c>
      <c r="V104" s="44">
        <f t="shared" si="62"/>
        <v>372462.4322461001</v>
      </c>
      <c r="W104" s="44">
        <f t="shared" si="63"/>
        <v>372462.4322461001</v>
      </c>
      <c r="X104" s="44">
        <f t="shared" si="64"/>
        <v>372462.4322461001</v>
      </c>
      <c r="Y104" s="44">
        <f t="shared" si="65"/>
        <v>372462.4322461001</v>
      </c>
      <c r="Z104" s="44">
        <f t="shared" si="66"/>
        <v>372163.9465735791</v>
      </c>
      <c r="AA104" s="44">
        <f t="shared" si="67"/>
        <v>372163.9465735791</v>
      </c>
      <c r="AB104" s="44">
        <f t="shared" si="68"/>
        <v>372163.9465735791</v>
      </c>
      <c r="AC104" s="44">
        <f t="shared" si="69"/>
        <v>372163.9465735791</v>
      </c>
      <c r="AD104" s="44">
        <f t="shared" si="70"/>
        <v>372693.21406785212</v>
      </c>
      <c r="AE104" s="44">
        <f t="shared" si="71"/>
        <v>372693.21406785212</v>
      </c>
      <c r="AF104" s="44">
        <f t="shared" si="72"/>
        <v>372693.21406785212</v>
      </c>
      <c r="AG104" s="44">
        <f t="shared" si="73"/>
        <v>372693.21406785212</v>
      </c>
      <c r="AH104" s="44">
        <f t="shared" si="74"/>
        <v>372805.56321151962</v>
      </c>
      <c r="AI104" s="44">
        <f t="shared" si="75"/>
        <v>372805.56321151962</v>
      </c>
      <c r="AJ104" s="44">
        <f t="shared" si="76"/>
        <v>372805.56321151962</v>
      </c>
      <c r="AK104" s="44">
        <f t="shared" si="77"/>
        <v>372805.56321151962</v>
      </c>
      <c r="AL104" s="44">
        <f t="shared" si="78"/>
        <v>372434.76197665534</v>
      </c>
      <c r="AM104" s="44">
        <f t="shared" si="79"/>
        <v>372434.76197665534</v>
      </c>
      <c r="AN104" s="44">
        <f t="shared" si="80"/>
        <v>372434.76197665534</v>
      </c>
      <c r="AO104" s="44">
        <f t="shared" si="81"/>
        <v>372434.76197665534</v>
      </c>
      <c r="AP104" s="44">
        <f t="shared" si="82"/>
        <v>395375.77026289952</v>
      </c>
      <c r="AQ104" s="44">
        <f t="shared" si="83"/>
        <v>395375.77026289952</v>
      </c>
      <c r="AR104" s="44">
        <f t="shared" si="84"/>
        <v>395375.77026289952</v>
      </c>
      <c r="AS104" s="44">
        <f t="shared" si="85"/>
        <v>395375.77026289952</v>
      </c>
    </row>
    <row r="105" spans="1:45" x14ac:dyDescent="0.2">
      <c r="A105" s="4">
        <v>1995.3</v>
      </c>
      <c r="B105" s="44">
        <f>chainindex!AK105/chainindex!AK106*newbrowser!B106</f>
        <v>353207.34015853971</v>
      </c>
      <c r="C105" s="44">
        <f t="shared" si="43"/>
        <v>353569.15346959385</v>
      </c>
      <c r="D105" s="44">
        <f t="shared" si="44"/>
        <v>353569.15346959385</v>
      </c>
      <c r="E105" s="44">
        <f t="shared" si="45"/>
        <v>353569.15346959385</v>
      </c>
      <c r="F105" s="44">
        <f t="shared" si="46"/>
        <v>353569.15346959385</v>
      </c>
      <c r="G105" s="44">
        <f t="shared" si="47"/>
        <v>353403.81747708807</v>
      </c>
      <c r="H105" s="44">
        <f t="shared" si="48"/>
        <v>353403.81747708807</v>
      </c>
      <c r="I105" s="44">
        <f t="shared" si="49"/>
        <v>353403.81747708807</v>
      </c>
      <c r="J105" s="44">
        <f t="shared" si="50"/>
        <v>353403.81747708807</v>
      </c>
      <c r="K105" s="44">
        <f t="shared" si="51"/>
        <v>353403.81747708807</v>
      </c>
      <c r="L105" s="44">
        <f t="shared" si="52"/>
        <v>353403.81747708807</v>
      </c>
      <c r="M105" s="44">
        <f t="shared" si="53"/>
        <v>353403.81945274718</v>
      </c>
      <c r="N105" s="44">
        <f t="shared" si="54"/>
        <v>353439.97401367221</v>
      </c>
      <c r="O105" s="44">
        <f t="shared" si="55"/>
        <v>353439.97401367221</v>
      </c>
      <c r="P105" s="44">
        <f t="shared" si="56"/>
        <v>353439.97401367221</v>
      </c>
      <c r="Q105" s="44">
        <f t="shared" si="57"/>
        <v>353439.97401367221</v>
      </c>
      <c r="R105" s="44">
        <f t="shared" si="58"/>
        <v>353459.829387295</v>
      </c>
      <c r="S105" s="44">
        <f t="shared" si="59"/>
        <v>353459.829387295</v>
      </c>
      <c r="T105" s="44">
        <f t="shared" si="60"/>
        <v>353459.829387295</v>
      </c>
      <c r="U105" s="44">
        <f t="shared" si="61"/>
        <v>353459.829387295</v>
      </c>
      <c r="V105" s="44">
        <f t="shared" si="62"/>
        <v>374973.17609905096</v>
      </c>
      <c r="W105" s="44">
        <f t="shared" si="63"/>
        <v>374973.17609905096</v>
      </c>
      <c r="X105" s="44">
        <f t="shared" si="64"/>
        <v>374973.17609905096</v>
      </c>
      <c r="Y105" s="44">
        <f t="shared" si="65"/>
        <v>374973.17609905096</v>
      </c>
      <c r="Z105" s="44">
        <f t="shared" si="66"/>
        <v>374672.67835496896</v>
      </c>
      <c r="AA105" s="44">
        <f t="shared" si="67"/>
        <v>374672.67835496896</v>
      </c>
      <c r="AB105" s="44">
        <f t="shared" si="68"/>
        <v>374672.67835496896</v>
      </c>
      <c r="AC105" s="44">
        <f t="shared" si="69"/>
        <v>374672.67835496896</v>
      </c>
      <c r="AD105" s="44">
        <f t="shared" si="70"/>
        <v>375205.51360532356</v>
      </c>
      <c r="AE105" s="44">
        <f t="shared" si="71"/>
        <v>375205.51360532356</v>
      </c>
      <c r="AF105" s="44">
        <f t="shared" si="72"/>
        <v>375205.51360532356</v>
      </c>
      <c r="AG105" s="44">
        <f t="shared" si="73"/>
        <v>375205.51360532356</v>
      </c>
      <c r="AH105" s="44">
        <f t="shared" si="74"/>
        <v>375318.62008690607</v>
      </c>
      <c r="AI105" s="44">
        <f t="shared" si="75"/>
        <v>375318.62008690607</v>
      </c>
      <c r="AJ105" s="44">
        <f t="shared" si="76"/>
        <v>375318.62008690607</v>
      </c>
      <c r="AK105" s="44">
        <f t="shared" si="77"/>
        <v>375318.62008690607</v>
      </c>
      <c r="AL105" s="44">
        <f t="shared" si="78"/>
        <v>374945.31930620712</v>
      </c>
      <c r="AM105" s="44">
        <f t="shared" si="79"/>
        <v>374945.31930620712</v>
      </c>
      <c r="AN105" s="44">
        <f t="shared" si="80"/>
        <v>374945.31930620712</v>
      </c>
      <c r="AO105" s="44">
        <f t="shared" si="81"/>
        <v>374945.31930620712</v>
      </c>
      <c r="AP105" s="44">
        <f t="shared" si="82"/>
        <v>398040.97136467777</v>
      </c>
      <c r="AQ105" s="44">
        <f t="shared" si="83"/>
        <v>398040.97136467777</v>
      </c>
      <c r="AR105" s="44">
        <f t="shared" si="84"/>
        <v>398040.97136467777</v>
      </c>
      <c r="AS105" s="44">
        <f t="shared" si="85"/>
        <v>398040.97136467777</v>
      </c>
    </row>
    <row r="106" spans="1:45" x14ac:dyDescent="0.2">
      <c r="A106" s="4">
        <v>1995.4</v>
      </c>
      <c r="B106" s="44">
        <f>chainindex!AK106/chainindex!AK107*newbrowser!B107</f>
        <v>355675.05763063161</v>
      </c>
      <c r="C106" s="44">
        <f>B106/B107*C107</f>
        <v>356039.39878561144</v>
      </c>
      <c r="D106" s="44">
        <f t="shared" si="44"/>
        <v>356039.39878561144</v>
      </c>
      <c r="E106" s="44">
        <f t="shared" si="45"/>
        <v>356039.39878561144</v>
      </c>
      <c r="F106" s="44">
        <f t="shared" si="46"/>
        <v>356039.39878561144</v>
      </c>
      <c r="G106" s="44">
        <f t="shared" si="47"/>
        <v>355872.90765709605</v>
      </c>
      <c r="H106" s="44">
        <f t="shared" si="48"/>
        <v>355872.90765709605</v>
      </c>
      <c r="I106" s="44">
        <f t="shared" si="49"/>
        <v>355872.90765709605</v>
      </c>
      <c r="J106" s="44">
        <f t="shared" si="50"/>
        <v>355872.90765709605</v>
      </c>
      <c r="K106" s="44">
        <f t="shared" si="51"/>
        <v>355872.90765709605</v>
      </c>
      <c r="L106" s="44">
        <f t="shared" si="52"/>
        <v>355872.90765709605</v>
      </c>
      <c r="M106" s="44">
        <f t="shared" si="53"/>
        <v>355872.90964655828</v>
      </c>
      <c r="N106" s="44">
        <f t="shared" si="54"/>
        <v>355909.31680484337</v>
      </c>
      <c r="O106" s="44">
        <f t="shared" si="55"/>
        <v>355909.31680484337</v>
      </c>
      <c r="P106" s="44">
        <f t="shared" si="56"/>
        <v>355909.31680484337</v>
      </c>
      <c r="Q106" s="44">
        <f t="shared" si="57"/>
        <v>355909.31680484337</v>
      </c>
      <c r="R106" s="44">
        <f t="shared" si="58"/>
        <v>355929.31089996715</v>
      </c>
      <c r="S106" s="44">
        <f t="shared" si="59"/>
        <v>355929.31089996715</v>
      </c>
      <c r="T106" s="44">
        <f t="shared" si="60"/>
        <v>355929.31089996715</v>
      </c>
      <c r="U106" s="44">
        <f t="shared" si="61"/>
        <v>355929.31089996715</v>
      </c>
      <c r="V106" s="44">
        <f t="shared" si="62"/>
        <v>377592.96270317433</v>
      </c>
      <c r="W106" s="44">
        <f t="shared" si="63"/>
        <v>377592.96270317433</v>
      </c>
      <c r="X106" s="44">
        <f t="shared" si="64"/>
        <v>377592.96270317433</v>
      </c>
      <c r="Y106" s="44">
        <f t="shared" si="65"/>
        <v>377592.96270317433</v>
      </c>
      <c r="Z106" s="44">
        <f t="shared" si="66"/>
        <v>377290.36550234526</v>
      </c>
      <c r="AA106" s="44">
        <f t="shared" si="67"/>
        <v>377290.36550234526</v>
      </c>
      <c r="AB106" s="44">
        <f t="shared" si="68"/>
        <v>377290.36550234526</v>
      </c>
      <c r="AC106" s="44">
        <f t="shared" si="69"/>
        <v>377290.36550234526</v>
      </c>
      <c r="AD106" s="44">
        <f t="shared" si="70"/>
        <v>377826.923458056</v>
      </c>
      <c r="AE106" s="44">
        <f t="shared" si="71"/>
        <v>377826.923458056</v>
      </c>
      <c r="AF106" s="44">
        <f t="shared" si="72"/>
        <v>377826.923458056</v>
      </c>
      <c r="AG106" s="44">
        <f t="shared" si="73"/>
        <v>377826.923458056</v>
      </c>
      <c r="AH106" s="44">
        <f t="shared" si="74"/>
        <v>377940.82016908471</v>
      </c>
      <c r="AI106" s="44">
        <f t="shared" si="75"/>
        <v>377940.82016908471</v>
      </c>
      <c r="AJ106" s="44">
        <f t="shared" si="76"/>
        <v>377940.82016908471</v>
      </c>
      <c r="AK106" s="44">
        <f t="shared" si="77"/>
        <v>377940.82016908471</v>
      </c>
      <c r="AL106" s="44">
        <f t="shared" si="78"/>
        <v>377564.91128613497</v>
      </c>
      <c r="AM106" s="44">
        <f t="shared" si="79"/>
        <v>377564.91128613497</v>
      </c>
      <c r="AN106" s="44">
        <f t="shared" si="80"/>
        <v>377564.91128613497</v>
      </c>
      <c r="AO106" s="44">
        <f t="shared" si="81"/>
        <v>377564.91128613497</v>
      </c>
      <c r="AP106" s="44">
        <f t="shared" si="82"/>
        <v>400821.923366423</v>
      </c>
      <c r="AQ106" s="44">
        <f t="shared" si="83"/>
        <v>400821.923366423</v>
      </c>
      <c r="AR106" s="44">
        <f t="shared" si="84"/>
        <v>400821.923366423</v>
      </c>
      <c r="AS106" s="44">
        <f t="shared" si="85"/>
        <v>400821.923366423</v>
      </c>
    </row>
    <row r="107" spans="1:45" x14ac:dyDescent="0.2">
      <c r="A107" s="4" t="s">
        <v>171</v>
      </c>
      <c r="B107" s="45">
        <v>357559</v>
      </c>
      <c r="C107" s="45">
        <v>357925.27100000001</v>
      </c>
      <c r="D107" s="45">
        <v>357925.27100000001</v>
      </c>
      <c r="E107" s="45">
        <v>357925.27100000001</v>
      </c>
      <c r="F107" s="45">
        <v>357925.27100000001</v>
      </c>
      <c r="G107" s="45">
        <v>357757.89799999999</v>
      </c>
      <c r="H107" s="45">
        <v>357757.89799999999</v>
      </c>
      <c r="I107" s="45">
        <v>357757.89799999999</v>
      </c>
      <c r="J107" s="45">
        <v>357757.89799999999</v>
      </c>
      <c r="K107" s="45">
        <v>357757.89799999999</v>
      </c>
      <c r="L107" s="45">
        <v>357757.89799999999</v>
      </c>
      <c r="M107" s="45">
        <v>357757.9</v>
      </c>
      <c r="N107" s="45">
        <v>357794.5</v>
      </c>
      <c r="O107" s="45">
        <v>357794.5</v>
      </c>
      <c r="P107" s="45">
        <v>357794.5</v>
      </c>
      <c r="Q107" s="45">
        <v>357794.5</v>
      </c>
      <c r="R107" s="45">
        <v>357814.6</v>
      </c>
      <c r="S107" s="45">
        <v>357814.6</v>
      </c>
      <c r="T107" s="45">
        <v>357814.6</v>
      </c>
      <c r="U107" s="45">
        <v>357814.6</v>
      </c>
      <c r="V107" s="45">
        <v>379593</v>
      </c>
      <c r="W107" s="45">
        <v>379593</v>
      </c>
      <c r="X107" s="45">
        <v>379593</v>
      </c>
      <c r="Y107" s="45">
        <v>379593</v>
      </c>
      <c r="Z107" s="45">
        <v>379288.8</v>
      </c>
      <c r="AA107" s="45">
        <v>379288.8</v>
      </c>
      <c r="AB107" s="45">
        <v>379288.8</v>
      </c>
      <c r="AC107" s="45">
        <v>379288.8</v>
      </c>
      <c r="AD107" s="45">
        <v>379828.2</v>
      </c>
      <c r="AE107" s="45">
        <v>379828.2</v>
      </c>
      <c r="AF107" s="45">
        <v>379828.2</v>
      </c>
      <c r="AG107" s="45">
        <v>379828.2</v>
      </c>
      <c r="AH107" s="45">
        <v>379942.7</v>
      </c>
      <c r="AI107" s="45">
        <v>379942.7</v>
      </c>
      <c r="AJ107" s="45">
        <v>379942.7</v>
      </c>
      <c r="AK107" s="45">
        <v>379942.7</v>
      </c>
      <c r="AL107" s="45">
        <v>379564.79999999999</v>
      </c>
      <c r="AM107" s="45">
        <v>379564.79999999999</v>
      </c>
      <c r="AN107" s="45">
        <v>379564.79999999999</v>
      </c>
      <c r="AO107" s="45">
        <v>379564.79999999999</v>
      </c>
      <c r="AP107" s="45">
        <v>402945</v>
      </c>
      <c r="AQ107" s="45">
        <v>402945</v>
      </c>
      <c r="AR107" s="45">
        <v>402945</v>
      </c>
      <c r="AS107" s="45">
        <v>402945</v>
      </c>
    </row>
    <row r="108" spans="1:45" x14ac:dyDescent="0.2">
      <c r="A108" s="4" t="s">
        <v>172</v>
      </c>
      <c r="B108" s="45">
        <v>356730</v>
      </c>
      <c r="C108" s="45">
        <v>357170.609</v>
      </c>
      <c r="D108" s="45">
        <v>357170.609</v>
      </c>
      <c r="E108" s="45">
        <v>357170.609</v>
      </c>
      <c r="F108" s="45">
        <v>357170.609</v>
      </c>
      <c r="G108" s="45">
        <v>356389.80599999998</v>
      </c>
      <c r="H108" s="45">
        <v>356389.80599999998</v>
      </c>
      <c r="I108" s="45">
        <v>356389.80599999998</v>
      </c>
      <c r="J108" s="45">
        <v>356389.80599999998</v>
      </c>
      <c r="K108" s="45">
        <v>356389.80599999998</v>
      </c>
      <c r="L108" s="45">
        <v>356389.80599999998</v>
      </c>
      <c r="M108" s="45">
        <v>356389.8</v>
      </c>
      <c r="N108" s="45">
        <v>355930.2</v>
      </c>
      <c r="O108" s="45">
        <v>355930.2</v>
      </c>
      <c r="P108" s="45">
        <v>355930.2</v>
      </c>
      <c r="Q108" s="45">
        <v>355930.2</v>
      </c>
      <c r="R108" s="45">
        <v>355979</v>
      </c>
      <c r="S108" s="45">
        <v>355979</v>
      </c>
      <c r="T108" s="45">
        <v>355979</v>
      </c>
      <c r="U108" s="45">
        <v>355979</v>
      </c>
      <c r="V108" s="45">
        <v>379558.8</v>
      </c>
      <c r="W108" s="45">
        <v>379558.8</v>
      </c>
      <c r="X108" s="45">
        <v>379558.8</v>
      </c>
      <c r="Y108" s="45">
        <v>379558.8</v>
      </c>
      <c r="Z108" s="45">
        <v>379547.9</v>
      </c>
      <c r="AA108" s="45">
        <v>379547.9</v>
      </c>
      <c r="AB108" s="45">
        <v>379547.9</v>
      </c>
      <c r="AC108" s="45">
        <v>379547.9</v>
      </c>
      <c r="AD108" s="45">
        <v>379428</v>
      </c>
      <c r="AE108" s="45">
        <v>379428</v>
      </c>
      <c r="AF108" s="45">
        <v>379428</v>
      </c>
      <c r="AG108" s="45">
        <v>379428</v>
      </c>
      <c r="AH108" s="45">
        <v>379449.59999999998</v>
      </c>
      <c r="AI108" s="45">
        <v>379449.59999999998</v>
      </c>
      <c r="AJ108" s="45">
        <v>379449.59999999998</v>
      </c>
      <c r="AK108" s="45">
        <v>379449.59999999998</v>
      </c>
      <c r="AL108" s="45">
        <v>379583</v>
      </c>
      <c r="AM108" s="45">
        <v>379583</v>
      </c>
      <c r="AN108" s="45">
        <v>379583</v>
      </c>
      <c r="AO108" s="45">
        <v>379583</v>
      </c>
      <c r="AP108" s="45">
        <v>403617.7</v>
      </c>
      <c r="AQ108" s="45">
        <v>403617.7</v>
      </c>
      <c r="AR108" s="45">
        <v>403617.7</v>
      </c>
      <c r="AS108" s="45">
        <v>403617.7</v>
      </c>
    </row>
    <row r="109" spans="1:45" x14ac:dyDescent="0.2">
      <c r="A109" s="4" t="s">
        <v>173</v>
      </c>
      <c r="B109" s="45">
        <v>357040</v>
      </c>
      <c r="C109" s="45">
        <v>356791.29800000001</v>
      </c>
      <c r="D109" s="45">
        <v>356791.29800000001</v>
      </c>
      <c r="E109" s="45">
        <v>356791.29800000001</v>
      </c>
      <c r="F109" s="45">
        <v>356791.29800000001</v>
      </c>
      <c r="G109" s="45">
        <v>356480.908</v>
      </c>
      <c r="H109" s="45">
        <v>356480.908</v>
      </c>
      <c r="I109" s="45">
        <v>356480.908</v>
      </c>
      <c r="J109" s="45">
        <v>356480.908</v>
      </c>
      <c r="K109" s="45">
        <v>356480.908</v>
      </c>
      <c r="L109" s="45">
        <v>356480.908</v>
      </c>
      <c r="M109" s="45">
        <v>356480.9</v>
      </c>
      <c r="N109" s="45">
        <v>356733.7</v>
      </c>
      <c r="O109" s="45">
        <v>356733.7</v>
      </c>
      <c r="P109" s="45">
        <v>356733.7</v>
      </c>
      <c r="Q109" s="45">
        <v>356733.7</v>
      </c>
      <c r="R109" s="45">
        <v>356622.5</v>
      </c>
      <c r="S109" s="45">
        <v>356622.5</v>
      </c>
      <c r="T109" s="45">
        <v>356622.5</v>
      </c>
      <c r="U109" s="45">
        <v>356622.5</v>
      </c>
      <c r="V109" s="45">
        <v>380012.7</v>
      </c>
      <c r="W109" s="45">
        <v>380012.7</v>
      </c>
      <c r="X109" s="45">
        <v>380012.7</v>
      </c>
      <c r="Y109" s="45">
        <v>380012.7</v>
      </c>
      <c r="Z109" s="45">
        <v>380137.1</v>
      </c>
      <c r="AA109" s="45">
        <v>380137.1</v>
      </c>
      <c r="AB109" s="45">
        <v>380137.1</v>
      </c>
      <c r="AC109" s="45">
        <v>380137.1</v>
      </c>
      <c r="AD109" s="45">
        <v>379990.1</v>
      </c>
      <c r="AE109" s="45">
        <v>379990.1</v>
      </c>
      <c r="AF109" s="45">
        <v>379990.1</v>
      </c>
      <c r="AG109" s="45">
        <v>379990.1</v>
      </c>
      <c r="AH109" s="45">
        <v>379917.7</v>
      </c>
      <c r="AI109" s="45">
        <v>379917.7</v>
      </c>
      <c r="AJ109" s="45">
        <v>379917.7</v>
      </c>
      <c r="AK109" s="45">
        <v>379917.7</v>
      </c>
      <c r="AL109" s="45">
        <v>380006.1</v>
      </c>
      <c r="AM109" s="45">
        <v>380006.1</v>
      </c>
      <c r="AN109" s="45">
        <v>380006.1</v>
      </c>
      <c r="AO109" s="45">
        <v>380006.1</v>
      </c>
      <c r="AP109" s="45">
        <v>404415.9</v>
      </c>
      <c r="AQ109" s="45">
        <v>404415.9</v>
      </c>
      <c r="AR109" s="45">
        <v>404415.9</v>
      </c>
      <c r="AS109" s="45">
        <v>404415.9</v>
      </c>
    </row>
    <row r="110" spans="1:45" x14ac:dyDescent="0.2">
      <c r="A110" s="4" t="s">
        <v>174</v>
      </c>
      <c r="B110" s="45">
        <v>356002</v>
      </c>
      <c r="C110" s="45">
        <v>355538.647</v>
      </c>
      <c r="D110" s="45">
        <v>355538.647</v>
      </c>
      <c r="E110" s="45">
        <v>355538.647</v>
      </c>
      <c r="F110" s="45">
        <v>355538.647</v>
      </c>
      <c r="G110" s="45">
        <v>356189.20799999998</v>
      </c>
      <c r="H110" s="45">
        <v>356189.20799999998</v>
      </c>
      <c r="I110" s="45">
        <v>356189.20799999998</v>
      </c>
      <c r="J110" s="45">
        <v>356189.20799999998</v>
      </c>
      <c r="K110" s="45">
        <v>356189.20799999998</v>
      </c>
      <c r="L110" s="45">
        <v>356189.20799999998</v>
      </c>
      <c r="M110" s="45">
        <v>356189.2</v>
      </c>
      <c r="N110" s="45">
        <v>356519.8</v>
      </c>
      <c r="O110" s="45">
        <v>356519.8</v>
      </c>
      <c r="P110" s="45">
        <v>356519.8</v>
      </c>
      <c r="Q110" s="45">
        <v>356519.8</v>
      </c>
      <c r="R110" s="45">
        <v>356458.9</v>
      </c>
      <c r="S110" s="45">
        <v>356458.9</v>
      </c>
      <c r="T110" s="45">
        <v>356458.9</v>
      </c>
      <c r="U110" s="45">
        <v>356458.9</v>
      </c>
      <c r="V110" s="45">
        <v>378846.4</v>
      </c>
      <c r="W110" s="45">
        <v>378846.4</v>
      </c>
      <c r="X110" s="45">
        <v>378846.4</v>
      </c>
      <c r="Y110" s="45">
        <v>378846.4</v>
      </c>
      <c r="Z110" s="45">
        <v>379011.9</v>
      </c>
      <c r="AA110" s="45">
        <v>379011.9</v>
      </c>
      <c r="AB110" s="45">
        <v>379011.9</v>
      </c>
      <c r="AC110" s="45">
        <v>379011.9</v>
      </c>
      <c r="AD110" s="45">
        <v>378833.4</v>
      </c>
      <c r="AE110" s="45">
        <v>378833.4</v>
      </c>
      <c r="AF110" s="45">
        <v>378833.4</v>
      </c>
      <c r="AG110" s="45">
        <v>378833.4</v>
      </c>
      <c r="AH110" s="45">
        <v>378651.5</v>
      </c>
      <c r="AI110" s="45">
        <v>378651.5</v>
      </c>
      <c r="AJ110" s="45">
        <v>378651.5</v>
      </c>
      <c r="AK110" s="45">
        <v>378651.5</v>
      </c>
      <c r="AL110" s="45">
        <v>378837.9</v>
      </c>
      <c r="AM110" s="45">
        <v>378837.9</v>
      </c>
      <c r="AN110" s="45">
        <v>378837.9</v>
      </c>
      <c r="AO110" s="45">
        <v>378837.9</v>
      </c>
      <c r="AP110" s="45">
        <v>403024.2</v>
      </c>
      <c r="AQ110" s="45">
        <v>403024.2</v>
      </c>
      <c r="AR110" s="45">
        <v>403024.2</v>
      </c>
      <c r="AS110" s="45">
        <v>403024.2</v>
      </c>
    </row>
    <row r="111" spans="1:45" x14ac:dyDescent="0.2">
      <c r="A111" s="4" t="s">
        <v>175</v>
      </c>
      <c r="B111" s="45">
        <v>358846</v>
      </c>
      <c r="C111" s="45">
        <v>358714.09899999999</v>
      </c>
      <c r="D111" s="45">
        <v>358714.09899999999</v>
      </c>
      <c r="E111" s="45">
        <v>358714.09899999999</v>
      </c>
      <c r="F111" s="45">
        <v>358714.09899999999</v>
      </c>
      <c r="G111" s="45">
        <v>357914.76799999998</v>
      </c>
      <c r="H111" s="45">
        <v>357914.76799999998</v>
      </c>
      <c r="I111" s="45">
        <v>357914.76799999998</v>
      </c>
      <c r="J111" s="45">
        <v>357914.76799999998</v>
      </c>
      <c r="K111" s="45">
        <v>357914.76799999998</v>
      </c>
      <c r="L111" s="45">
        <v>357914.76799999998</v>
      </c>
      <c r="M111" s="45">
        <v>357914.8</v>
      </c>
      <c r="N111" s="45">
        <v>357479.7</v>
      </c>
      <c r="O111" s="45">
        <v>357479.7</v>
      </c>
      <c r="P111" s="45">
        <v>357479.7</v>
      </c>
      <c r="Q111" s="45">
        <v>357479.7</v>
      </c>
      <c r="R111" s="45">
        <v>357399.9</v>
      </c>
      <c r="S111" s="45">
        <v>357399.9</v>
      </c>
      <c r="T111" s="45">
        <v>357399.9</v>
      </c>
      <c r="U111" s="45">
        <v>357399.9</v>
      </c>
      <c r="V111" s="45">
        <v>380204.2</v>
      </c>
      <c r="W111" s="45">
        <v>380204.2</v>
      </c>
      <c r="X111" s="45">
        <v>380204.2</v>
      </c>
      <c r="Y111" s="45">
        <v>380204.2</v>
      </c>
      <c r="Z111" s="45">
        <v>380340.6</v>
      </c>
      <c r="AA111" s="45">
        <v>380340.6</v>
      </c>
      <c r="AB111" s="45">
        <v>380340.6</v>
      </c>
      <c r="AC111" s="45">
        <v>380340.6</v>
      </c>
      <c r="AD111" s="45">
        <v>380104.7</v>
      </c>
      <c r="AE111" s="45">
        <v>380104.7</v>
      </c>
      <c r="AF111" s="45">
        <v>380104.7</v>
      </c>
      <c r="AG111" s="45">
        <v>380104.7</v>
      </c>
      <c r="AH111" s="45">
        <v>379995.6</v>
      </c>
      <c r="AI111" s="45">
        <v>379995.6</v>
      </c>
      <c r="AJ111" s="45">
        <v>379995.6</v>
      </c>
      <c r="AK111" s="45">
        <v>379995.6</v>
      </c>
      <c r="AL111" s="45">
        <v>379992.7</v>
      </c>
      <c r="AM111" s="45">
        <v>379992.7</v>
      </c>
      <c r="AN111" s="45">
        <v>379992.7</v>
      </c>
      <c r="AO111" s="45">
        <v>379992.7</v>
      </c>
      <c r="AP111" s="45">
        <v>404186.5</v>
      </c>
      <c r="AQ111" s="45">
        <v>404186.5</v>
      </c>
      <c r="AR111" s="45">
        <v>404186.5</v>
      </c>
      <c r="AS111" s="45">
        <v>404186.5</v>
      </c>
    </row>
    <row r="112" spans="1:45" x14ac:dyDescent="0.2">
      <c r="A112" s="4" t="s">
        <v>176</v>
      </c>
      <c r="B112" s="45">
        <v>361980</v>
      </c>
      <c r="C112" s="45">
        <v>362106.56800000003</v>
      </c>
      <c r="D112" s="45">
        <v>362106.56800000003</v>
      </c>
      <c r="E112" s="45">
        <v>362106.56800000003</v>
      </c>
      <c r="F112" s="45">
        <v>362106.56800000003</v>
      </c>
      <c r="G112" s="45">
        <v>362102.28899999999</v>
      </c>
      <c r="H112" s="45">
        <v>362102.28899999999</v>
      </c>
      <c r="I112" s="45">
        <v>362102.28899999999</v>
      </c>
      <c r="J112" s="45">
        <v>362102.28899999999</v>
      </c>
      <c r="K112" s="45">
        <v>362102.28899999999</v>
      </c>
      <c r="L112" s="45">
        <v>362102.28899999999</v>
      </c>
      <c r="M112" s="45">
        <v>362102.3</v>
      </c>
      <c r="N112" s="45">
        <v>362337</v>
      </c>
      <c r="O112" s="45">
        <v>362337</v>
      </c>
      <c r="P112" s="45">
        <v>362337</v>
      </c>
      <c r="Q112" s="45">
        <v>362337</v>
      </c>
      <c r="R112" s="45">
        <v>362296.7</v>
      </c>
      <c r="S112" s="45">
        <v>362296.7</v>
      </c>
      <c r="T112" s="45">
        <v>362296.7</v>
      </c>
      <c r="U112" s="45">
        <v>362296.7</v>
      </c>
      <c r="V112" s="45">
        <v>385225.2</v>
      </c>
      <c r="W112" s="45">
        <v>385225.2</v>
      </c>
      <c r="X112" s="45">
        <v>385225.2</v>
      </c>
      <c r="Y112" s="45">
        <v>385225.2</v>
      </c>
      <c r="Z112" s="45">
        <v>385143</v>
      </c>
      <c r="AA112" s="45">
        <v>385143</v>
      </c>
      <c r="AB112" s="45">
        <v>385143</v>
      </c>
      <c r="AC112" s="45">
        <v>385143</v>
      </c>
      <c r="AD112" s="45">
        <v>385149</v>
      </c>
      <c r="AE112" s="45">
        <v>385149</v>
      </c>
      <c r="AF112" s="45">
        <v>385149</v>
      </c>
      <c r="AG112" s="45">
        <v>385149</v>
      </c>
      <c r="AH112" s="45">
        <v>385117.5</v>
      </c>
      <c r="AI112" s="45">
        <v>385117.5</v>
      </c>
      <c r="AJ112" s="45">
        <v>385117.5</v>
      </c>
      <c r="AK112" s="45">
        <v>385117.5</v>
      </c>
      <c r="AL112" s="45">
        <v>385205.3</v>
      </c>
      <c r="AM112" s="45">
        <v>385205.3</v>
      </c>
      <c r="AN112" s="45">
        <v>385205.3</v>
      </c>
      <c r="AO112" s="45">
        <v>385205.3</v>
      </c>
      <c r="AP112" s="45">
        <v>410584</v>
      </c>
      <c r="AQ112" s="45">
        <v>410584</v>
      </c>
      <c r="AR112" s="45">
        <v>410584</v>
      </c>
      <c r="AS112" s="45">
        <v>410584</v>
      </c>
    </row>
    <row r="113" spans="1:45" x14ac:dyDescent="0.2">
      <c r="A113" s="4" t="s">
        <v>177</v>
      </c>
      <c r="B113" s="45">
        <v>364390</v>
      </c>
      <c r="C113" s="45">
        <v>364415.592</v>
      </c>
      <c r="D113" s="45">
        <v>364415.592</v>
      </c>
      <c r="E113" s="45">
        <v>364415.592</v>
      </c>
      <c r="F113" s="45">
        <v>364415.592</v>
      </c>
      <c r="G113" s="45">
        <v>364453.71799999999</v>
      </c>
      <c r="H113" s="45">
        <v>364453.71799999999</v>
      </c>
      <c r="I113" s="45">
        <v>364453.71799999999</v>
      </c>
      <c r="J113" s="45">
        <v>364453.71799999999</v>
      </c>
      <c r="K113" s="45">
        <v>364453.71799999999</v>
      </c>
      <c r="L113" s="45">
        <v>364453.71799999999</v>
      </c>
      <c r="M113" s="45">
        <v>364453.7</v>
      </c>
      <c r="N113" s="45">
        <v>364521.7</v>
      </c>
      <c r="O113" s="45">
        <v>364521.7</v>
      </c>
      <c r="P113" s="45">
        <v>364521.7</v>
      </c>
      <c r="Q113" s="45">
        <v>364521.7</v>
      </c>
      <c r="R113" s="45">
        <v>364466.4</v>
      </c>
      <c r="S113" s="45">
        <v>364466.4</v>
      </c>
      <c r="T113" s="45">
        <v>364466.4</v>
      </c>
      <c r="U113" s="45">
        <v>364466.4</v>
      </c>
      <c r="V113" s="45">
        <v>387767.4</v>
      </c>
      <c r="W113" s="45">
        <v>387767.4</v>
      </c>
      <c r="X113" s="45">
        <v>387767.4</v>
      </c>
      <c r="Y113" s="45">
        <v>387767.4</v>
      </c>
      <c r="Z113" s="45">
        <v>387638</v>
      </c>
      <c r="AA113" s="45">
        <v>387638</v>
      </c>
      <c r="AB113" s="45">
        <v>387638</v>
      </c>
      <c r="AC113" s="45">
        <v>387638</v>
      </c>
      <c r="AD113" s="45">
        <v>387735</v>
      </c>
      <c r="AE113" s="45">
        <v>387735</v>
      </c>
      <c r="AF113" s="45">
        <v>387735</v>
      </c>
      <c r="AG113" s="45">
        <v>387735</v>
      </c>
      <c r="AH113" s="45">
        <v>387782.1</v>
      </c>
      <c r="AI113" s="45">
        <v>387782.1</v>
      </c>
      <c r="AJ113" s="45">
        <v>387782.1</v>
      </c>
      <c r="AK113" s="45">
        <v>387782.1</v>
      </c>
      <c r="AL113" s="45">
        <v>387934.6</v>
      </c>
      <c r="AM113" s="45">
        <v>387934.6</v>
      </c>
      <c r="AN113" s="45">
        <v>387934.6</v>
      </c>
      <c r="AO113" s="45">
        <v>387934.6</v>
      </c>
      <c r="AP113" s="45">
        <v>412505.3</v>
      </c>
      <c r="AQ113" s="45">
        <v>412505.3</v>
      </c>
      <c r="AR113" s="45">
        <v>412505.3</v>
      </c>
      <c r="AS113" s="45">
        <v>412505.3</v>
      </c>
    </row>
    <row r="114" spans="1:45" x14ac:dyDescent="0.2">
      <c r="A114" s="4" t="s">
        <v>178</v>
      </c>
      <c r="B114" s="45">
        <v>370218</v>
      </c>
      <c r="C114" s="45">
        <v>370087.01699999999</v>
      </c>
      <c r="D114" s="45">
        <v>370087.01699999999</v>
      </c>
      <c r="E114" s="45">
        <v>370087.01699999999</v>
      </c>
      <c r="F114" s="45">
        <v>370087.01699999999</v>
      </c>
      <c r="G114" s="45">
        <v>370422.158</v>
      </c>
      <c r="H114" s="45">
        <v>370422.158</v>
      </c>
      <c r="I114" s="45">
        <v>370422.158</v>
      </c>
      <c r="J114" s="45">
        <v>370422.158</v>
      </c>
      <c r="K114" s="45">
        <v>370422.158</v>
      </c>
      <c r="L114" s="45">
        <v>370422.158</v>
      </c>
      <c r="M114" s="45">
        <v>370422.2</v>
      </c>
      <c r="N114" s="45">
        <v>370513.3</v>
      </c>
      <c r="O114" s="45">
        <v>370513.3</v>
      </c>
      <c r="P114" s="45">
        <v>370513.3</v>
      </c>
      <c r="Q114" s="45">
        <v>370513.3</v>
      </c>
      <c r="R114" s="45">
        <v>370537.9</v>
      </c>
      <c r="S114" s="45">
        <v>370537.9</v>
      </c>
      <c r="T114" s="45">
        <v>370537.9</v>
      </c>
      <c r="U114" s="45">
        <v>370537.9</v>
      </c>
      <c r="V114" s="45">
        <v>394342.7</v>
      </c>
      <c r="W114" s="45">
        <v>394342.7</v>
      </c>
      <c r="X114" s="45">
        <v>394342.7</v>
      </c>
      <c r="Y114" s="45">
        <v>394342.7</v>
      </c>
      <c r="Z114" s="45">
        <v>394387.6</v>
      </c>
      <c r="AA114" s="45">
        <v>394387.6</v>
      </c>
      <c r="AB114" s="45">
        <v>394387.6</v>
      </c>
      <c r="AC114" s="45">
        <v>394387.6</v>
      </c>
      <c r="AD114" s="45">
        <v>394637.2</v>
      </c>
      <c r="AE114" s="45">
        <v>394637.2</v>
      </c>
      <c r="AF114" s="45">
        <v>394637.2</v>
      </c>
      <c r="AG114" s="45">
        <v>394637.2</v>
      </c>
      <c r="AH114" s="45">
        <v>394754.1</v>
      </c>
      <c r="AI114" s="45">
        <v>394754.1</v>
      </c>
      <c r="AJ114" s="45">
        <v>394754.1</v>
      </c>
      <c r="AK114" s="45">
        <v>394754.1</v>
      </c>
      <c r="AL114" s="45">
        <v>394652.4</v>
      </c>
      <c r="AM114" s="45">
        <v>394652.4</v>
      </c>
      <c r="AN114" s="45">
        <v>394652.4</v>
      </c>
      <c r="AO114" s="45">
        <v>394652.4</v>
      </c>
      <c r="AP114" s="45">
        <v>418612.9</v>
      </c>
      <c r="AQ114" s="45">
        <v>418612.9</v>
      </c>
      <c r="AR114" s="45">
        <v>418612.9</v>
      </c>
      <c r="AS114" s="45">
        <v>418612.9</v>
      </c>
    </row>
    <row r="115" spans="1:45" x14ac:dyDescent="0.2">
      <c r="A115" s="4" t="s">
        <v>179</v>
      </c>
      <c r="B115" s="45">
        <v>367634</v>
      </c>
      <c r="C115" s="45">
        <v>367857.55599999998</v>
      </c>
      <c r="D115" s="45">
        <v>367857.55599999998</v>
      </c>
      <c r="E115" s="45">
        <v>367857.55599999998</v>
      </c>
      <c r="F115" s="45">
        <v>367857.55599999998</v>
      </c>
      <c r="G115" s="45">
        <v>367664.39</v>
      </c>
      <c r="H115" s="45">
        <v>367664.39</v>
      </c>
      <c r="I115" s="45">
        <v>367664.39</v>
      </c>
      <c r="J115" s="45">
        <v>367664.39</v>
      </c>
      <c r="K115" s="45">
        <v>367664.39</v>
      </c>
      <c r="L115" s="45">
        <v>367664.39</v>
      </c>
      <c r="M115" s="45">
        <v>367664.4</v>
      </c>
      <c r="N115" s="45">
        <v>368105.8</v>
      </c>
      <c r="O115" s="45">
        <v>368105.8</v>
      </c>
      <c r="P115" s="45">
        <v>368105.8</v>
      </c>
      <c r="Q115" s="45">
        <v>368105.8</v>
      </c>
      <c r="R115" s="45">
        <v>368036</v>
      </c>
      <c r="S115" s="45">
        <v>368036</v>
      </c>
      <c r="T115" s="45">
        <v>368036</v>
      </c>
      <c r="U115" s="45">
        <v>368036</v>
      </c>
      <c r="V115" s="45">
        <v>392018.4</v>
      </c>
      <c r="W115" s="45">
        <v>392018.4</v>
      </c>
      <c r="X115" s="45">
        <v>392018.4</v>
      </c>
      <c r="Y115" s="45">
        <v>392018.4</v>
      </c>
      <c r="Z115" s="45">
        <v>391924.2</v>
      </c>
      <c r="AA115" s="45">
        <v>391924.2</v>
      </c>
      <c r="AB115" s="45">
        <v>391924.2</v>
      </c>
      <c r="AC115" s="45">
        <v>391924.2</v>
      </c>
      <c r="AD115" s="45">
        <v>391789.2</v>
      </c>
      <c r="AE115" s="45">
        <v>391789.2</v>
      </c>
      <c r="AF115" s="45">
        <v>391789.2</v>
      </c>
      <c r="AG115" s="45">
        <v>391789.2</v>
      </c>
      <c r="AH115" s="45">
        <v>391769.7</v>
      </c>
      <c r="AI115" s="45">
        <v>391769.7</v>
      </c>
      <c r="AJ115" s="45">
        <v>391769.7</v>
      </c>
      <c r="AK115" s="45">
        <v>391769.7</v>
      </c>
      <c r="AL115" s="45">
        <v>391689</v>
      </c>
      <c r="AM115" s="45">
        <v>391689</v>
      </c>
      <c r="AN115" s="45">
        <v>391689</v>
      </c>
      <c r="AO115" s="45">
        <v>391689</v>
      </c>
      <c r="AP115" s="45">
        <v>416498</v>
      </c>
      <c r="AQ115" s="45">
        <v>416498</v>
      </c>
      <c r="AR115" s="45">
        <v>416498</v>
      </c>
      <c r="AS115" s="45">
        <v>416498</v>
      </c>
    </row>
    <row r="116" spans="1:45" x14ac:dyDescent="0.2">
      <c r="A116" s="4" t="s">
        <v>180</v>
      </c>
      <c r="B116" s="45">
        <v>369811</v>
      </c>
      <c r="C116" s="45">
        <v>369916.25099999999</v>
      </c>
      <c r="D116" s="45">
        <v>369916.25099999999</v>
      </c>
      <c r="E116" s="45">
        <v>369916.25099999999</v>
      </c>
      <c r="F116" s="45">
        <v>369916.25099999999</v>
      </c>
      <c r="G116" s="45">
        <v>369672.16200000001</v>
      </c>
      <c r="H116" s="45">
        <v>369672.16200000001</v>
      </c>
      <c r="I116" s="45">
        <v>369672.16200000001</v>
      </c>
      <c r="J116" s="45">
        <v>369672.16200000001</v>
      </c>
      <c r="K116" s="45">
        <v>369672.16200000001</v>
      </c>
      <c r="L116" s="45">
        <v>369672.16200000001</v>
      </c>
      <c r="M116" s="45">
        <v>369672.2</v>
      </c>
      <c r="N116" s="45">
        <v>369528.4</v>
      </c>
      <c r="O116" s="45">
        <v>369528.4</v>
      </c>
      <c r="P116" s="45">
        <v>369528.4</v>
      </c>
      <c r="Q116" s="45">
        <v>369528.4</v>
      </c>
      <c r="R116" s="45">
        <v>369432.6</v>
      </c>
      <c r="S116" s="45">
        <v>369432.6</v>
      </c>
      <c r="T116" s="45">
        <v>369432.6</v>
      </c>
      <c r="U116" s="45">
        <v>369432.6</v>
      </c>
      <c r="V116" s="45">
        <v>393929.3</v>
      </c>
      <c r="W116" s="45">
        <v>393929.3</v>
      </c>
      <c r="X116" s="45">
        <v>393929.3</v>
      </c>
      <c r="Y116" s="45">
        <v>393929.3</v>
      </c>
      <c r="Z116" s="45">
        <v>394019.3</v>
      </c>
      <c r="AA116" s="45">
        <v>394019.3</v>
      </c>
      <c r="AB116" s="45">
        <v>394019.3</v>
      </c>
      <c r="AC116" s="45">
        <v>394019.3</v>
      </c>
      <c r="AD116" s="45">
        <v>393986.9</v>
      </c>
      <c r="AE116" s="45">
        <v>393986.9</v>
      </c>
      <c r="AF116" s="45">
        <v>393986.9</v>
      </c>
      <c r="AG116" s="45">
        <v>393986.9</v>
      </c>
      <c r="AH116" s="45">
        <v>394059.6</v>
      </c>
      <c r="AI116" s="45">
        <v>394059.6</v>
      </c>
      <c r="AJ116" s="45">
        <v>394059.6</v>
      </c>
      <c r="AK116" s="45">
        <v>394059.6</v>
      </c>
      <c r="AL116" s="45">
        <v>394016.1</v>
      </c>
      <c r="AM116" s="45">
        <v>394016.1</v>
      </c>
      <c r="AN116" s="45">
        <v>394016.1</v>
      </c>
      <c r="AO116" s="45">
        <v>394016.1</v>
      </c>
      <c r="AP116" s="45">
        <v>418999.5</v>
      </c>
      <c r="AQ116" s="45">
        <v>418999.5</v>
      </c>
      <c r="AR116" s="45">
        <v>418999.5</v>
      </c>
      <c r="AS116" s="45">
        <v>418999.5</v>
      </c>
    </row>
    <row r="117" spans="1:45" x14ac:dyDescent="0.2">
      <c r="A117" s="4" t="s">
        <v>181</v>
      </c>
      <c r="B117" s="45">
        <v>370207</v>
      </c>
      <c r="C117" s="45">
        <v>370253.15700000001</v>
      </c>
      <c r="D117" s="45">
        <v>370253.15700000001</v>
      </c>
      <c r="E117" s="45">
        <v>370253.15700000001</v>
      </c>
      <c r="F117" s="45">
        <v>370253.15700000001</v>
      </c>
      <c r="G117" s="45">
        <v>370094.47399999999</v>
      </c>
      <c r="H117" s="45">
        <v>370094.47399999999</v>
      </c>
      <c r="I117" s="45">
        <v>370094.47399999999</v>
      </c>
      <c r="J117" s="45">
        <v>370094.47399999999</v>
      </c>
      <c r="K117" s="45">
        <v>370094.47399999999</v>
      </c>
      <c r="L117" s="45">
        <v>370094.47399999999</v>
      </c>
      <c r="M117" s="45">
        <v>370094.5</v>
      </c>
      <c r="N117" s="45">
        <v>370021.4</v>
      </c>
      <c r="O117" s="45">
        <v>370021.4</v>
      </c>
      <c r="P117" s="45">
        <v>370021.4</v>
      </c>
      <c r="Q117" s="45">
        <v>370021.4</v>
      </c>
      <c r="R117" s="45">
        <v>369998.5</v>
      </c>
      <c r="S117" s="45">
        <v>369998.5</v>
      </c>
      <c r="T117" s="45">
        <v>369998.5</v>
      </c>
      <c r="U117" s="45">
        <v>369998.5</v>
      </c>
      <c r="V117" s="45">
        <v>394371.4</v>
      </c>
      <c r="W117" s="45">
        <v>394371.4</v>
      </c>
      <c r="X117" s="45">
        <v>394371.4</v>
      </c>
      <c r="Y117" s="45">
        <v>394371.4</v>
      </c>
      <c r="Z117" s="45">
        <v>394450.4</v>
      </c>
      <c r="AA117" s="45">
        <v>394450.4</v>
      </c>
      <c r="AB117" s="45">
        <v>394450.4</v>
      </c>
      <c r="AC117" s="45">
        <v>394450.4</v>
      </c>
      <c r="AD117" s="45">
        <v>394614</v>
      </c>
      <c r="AE117" s="45">
        <v>394614</v>
      </c>
      <c r="AF117" s="45">
        <v>394614</v>
      </c>
      <c r="AG117" s="45">
        <v>394614</v>
      </c>
      <c r="AH117" s="45">
        <v>394601.9</v>
      </c>
      <c r="AI117" s="45">
        <v>394601.9</v>
      </c>
      <c r="AJ117" s="45">
        <v>394601.9</v>
      </c>
      <c r="AK117" s="45">
        <v>394601.9</v>
      </c>
      <c r="AL117" s="45">
        <v>394496.8</v>
      </c>
      <c r="AM117" s="45">
        <v>394496.8</v>
      </c>
      <c r="AN117" s="45">
        <v>394496.8</v>
      </c>
      <c r="AO117" s="45">
        <v>394496.8</v>
      </c>
      <c r="AP117" s="45">
        <v>419321.3</v>
      </c>
      <c r="AQ117" s="45">
        <v>419321.3</v>
      </c>
      <c r="AR117" s="45">
        <v>419321.3</v>
      </c>
      <c r="AS117" s="45">
        <v>419321.3</v>
      </c>
    </row>
    <row r="118" spans="1:45" x14ac:dyDescent="0.2">
      <c r="A118" s="4" t="s">
        <v>182</v>
      </c>
      <c r="B118" s="45">
        <v>368914</v>
      </c>
      <c r="C118" s="45">
        <v>368920.11800000002</v>
      </c>
      <c r="D118" s="45">
        <v>368920.11800000002</v>
      </c>
      <c r="E118" s="45">
        <v>368920.11800000002</v>
      </c>
      <c r="F118" s="45">
        <v>368920.11800000002</v>
      </c>
      <c r="G118" s="45">
        <v>368648.01699999999</v>
      </c>
      <c r="H118" s="45">
        <v>368648.01699999999</v>
      </c>
      <c r="I118" s="45">
        <v>368648.01699999999</v>
      </c>
      <c r="J118" s="45">
        <v>368648.01699999999</v>
      </c>
      <c r="K118" s="45">
        <v>368648.01699999999</v>
      </c>
      <c r="L118" s="45">
        <v>368648.01699999999</v>
      </c>
      <c r="M118" s="45">
        <v>368648</v>
      </c>
      <c r="N118" s="45">
        <v>368302.5</v>
      </c>
      <c r="O118" s="45">
        <v>368302.5</v>
      </c>
      <c r="P118" s="45">
        <v>368302.5</v>
      </c>
      <c r="Q118" s="45">
        <v>368302.5</v>
      </c>
      <c r="R118" s="45">
        <v>368314</v>
      </c>
      <c r="S118" s="45">
        <v>368314</v>
      </c>
      <c r="T118" s="45">
        <v>368314</v>
      </c>
      <c r="U118" s="45">
        <v>368314</v>
      </c>
      <c r="V118" s="45">
        <v>392722.5</v>
      </c>
      <c r="W118" s="45">
        <v>392722.5</v>
      </c>
      <c r="X118" s="45">
        <v>392722.5</v>
      </c>
      <c r="Y118" s="45">
        <v>392722.5</v>
      </c>
      <c r="Z118" s="45">
        <v>392635.3</v>
      </c>
      <c r="AA118" s="45">
        <v>392635.3</v>
      </c>
      <c r="AB118" s="45">
        <v>392635.3</v>
      </c>
      <c r="AC118" s="45">
        <v>392635.3</v>
      </c>
      <c r="AD118" s="45">
        <v>392673.9</v>
      </c>
      <c r="AE118" s="45">
        <v>392673.9</v>
      </c>
      <c r="AF118" s="45">
        <v>392673.9</v>
      </c>
      <c r="AG118" s="45">
        <v>392673.9</v>
      </c>
      <c r="AH118" s="45">
        <v>392436.9</v>
      </c>
      <c r="AI118" s="45">
        <v>392436.9</v>
      </c>
      <c r="AJ118" s="45">
        <v>392436.9</v>
      </c>
      <c r="AK118" s="45">
        <v>392436.9</v>
      </c>
      <c r="AL118" s="45">
        <v>392564.6</v>
      </c>
      <c r="AM118" s="45">
        <v>392564.6</v>
      </c>
      <c r="AN118" s="45">
        <v>392564.6</v>
      </c>
      <c r="AO118" s="45">
        <v>392564.6</v>
      </c>
      <c r="AP118" s="45">
        <v>418007.5</v>
      </c>
      <c r="AQ118" s="45">
        <v>418007.5</v>
      </c>
      <c r="AR118" s="45">
        <v>418007.5</v>
      </c>
      <c r="AS118" s="45">
        <v>418007.5</v>
      </c>
    </row>
    <row r="119" spans="1:45" x14ac:dyDescent="0.2">
      <c r="A119" s="4" t="s">
        <v>183</v>
      </c>
      <c r="B119" s="45">
        <v>370346</v>
      </c>
      <c r="C119" s="45">
        <v>370495.78499999997</v>
      </c>
      <c r="D119" s="45">
        <v>370495.78499999997</v>
      </c>
      <c r="E119" s="45">
        <v>370495.78499999997</v>
      </c>
      <c r="F119" s="45">
        <v>370495.78499999997</v>
      </c>
      <c r="G119" s="45">
        <v>370933.033</v>
      </c>
      <c r="H119" s="45">
        <v>370933.033</v>
      </c>
      <c r="I119" s="45">
        <v>370933.033</v>
      </c>
      <c r="J119" s="45">
        <v>370933.033</v>
      </c>
      <c r="K119" s="45">
        <v>370933.033</v>
      </c>
      <c r="L119" s="45">
        <v>370933.033</v>
      </c>
      <c r="M119" s="45">
        <v>370933</v>
      </c>
      <c r="N119" s="45">
        <v>370479.3</v>
      </c>
      <c r="O119" s="45">
        <v>370479.3</v>
      </c>
      <c r="P119" s="45">
        <v>370479.3</v>
      </c>
      <c r="Q119" s="45">
        <v>370479.3</v>
      </c>
      <c r="R119" s="45">
        <v>370448.6</v>
      </c>
      <c r="S119" s="45">
        <v>370448.6</v>
      </c>
      <c r="T119" s="45">
        <v>370448.6</v>
      </c>
      <c r="U119" s="45">
        <v>370448.6</v>
      </c>
      <c r="V119" s="45">
        <v>395190.6</v>
      </c>
      <c r="W119" s="45">
        <v>395190.6</v>
      </c>
      <c r="X119" s="45">
        <v>395190.6</v>
      </c>
      <c r="Y119" s="45">
        <v>395190.6</v>
      </c>
      <c r="Z119" s="45">
        <v>395268.5</v>
      </c>
      <c r="AA119" s="45">
        <v>395268.5</v>
      </c>
      <c r="AB119" s="45">
        <v>395268.5</v>
      </c>
      <c r="AC119" s="45">
        <v>395268.5</v>
      </c>
      <c r="AD119" s="45">
        <v>395067.5</v>
      </c>
      <c r="AE119" s="45">
        <v>395067.5</v>
      </c>
      <c r="AF119" s="45">
        <v>395067.5</v>
      </c>
      <c r="AG119" s="45">
        <v>395067.5</v>
      </c>
      <c r="AH119" s="45">
        <v>395142.8</v>
      </c>
      <c r="AI119" s="45">
        <v>395142.8</v>
      </c>
      <c r="AJ119" s="45">
        <v>395142.8</v>
      </c>
      <c r="AK119" s="45">
        <v>395142.8</v>
      </c>
      <c r="AL119" s="45">
        <v>395042.7</v>
      </c>
      <c r="AM119" s="45">
        <v>395042.7</v>
      </c>
      <c r="AN119" s="45">
        <v>395042.7</v>
      </c>
      <c r="AO119" s="45">
        <v>395042.7</v>
      </c>
      <c r="AP119" s="45">
        <v>420023.3</v>
      </c>
      <c r="AQ119" s="45">
        <v>420023.3</v>
      </c>
      <c r="AR119" s="45">
        <v>420023.3</v>
      </c>
      <c r="AS119" s="45">
        <v>420023.3</v>
      </c>
    </row>
    <row r="120" spans="1:45" x14ac:dyDescent="0.2">
      <c r="A120" s="4" t="s">
        <v>184</v>
      </c>
      <c r="B120" s="45">
        <v>372702</v>
      </c>
      <c r="C120" s="45">
        <v>372676.01500000001</v>
      </c>
      <c r="D120" s="45">
        <v>372676.01500000001</v>
      </c>
      <c r="E120" s="45">
        <v>372676.01500000001</v>
      </c>
      <c r="F120" s="45">
        <v>372676.01500000001</v>
      </c>
      <c r="G120" s="45">
        <v>371969.772</v>
      </c>
      <c r="H120" s="45">
        <v>371969.772</v>
      </c>
      <c r="I120" s="45">
        <v>371969.772</v>
      </c>
      <c r="J120" s="45">
        <v>371969.772</v>
      </c>
      <c r="K120" s="45">
        <v>371969.772</v>
      </c>
      <c r="L120" s="45">
        <v>371969.772</v>
      </c>
      <c r="M120" s="45">
        <v>371969.8</v>
      </c>
      <c r="N120" s="45">
        <v>372064.4</v>
      </c>
      <c r="O120" s="45">
        <v>372064.4</v>
      </c>
      <c r="P120" s="45">
        <v>372064.4</v>
      </c>
      <c r="Q120" s="45">
        <v>372064.4</v>
      </c>
      <c r="R120" s="45">
        <v>371954.8</v>
      </c>
      <c r="S120" s="45">
        <v>371954.8</v>
      </c>
      <c r="T120" s="45">
        <v>371954.8</v>
      </c>
      <c r="U120" s="45">
        <v>371954.8</v>
      </c>
      <c r="V120" s="45">
        <v>396699.1</v>
      </c>
      <c r="W120" s="45">
        <v>396699.1</v>
      </c>
      <c r="X120" s="45">
        <v>396699.1</v>
      </c>
      <c r="Y120" s="45">
        <v>396699.1</v>
      </c>
      <c r="Z120" s="45">
        <v>396658.2</v>
      </c>
      <c r="AA120" s="45">
        <v>396658.2</v>
      </c>
      <c r="AB120" s="45">
        <v>396658.2</v>
      </c>
      <c r="AC120" s="45">
        <v>396658.2</v>
      </c>
      <c r="AD120" s="45">
        <v>396480.8</v>
      </c>
      <c r="AE120" s="45">
        <v>396480.8</v>
      </c>
      <c r="AF120" s="45">
        <v>396480.8</v>
      </c>
      <c r="AG120" s="45">
        <v>396480.8</v>
      </c>
      <c r="AH120" s="45">
        <v>396512.7</v>
      </c>
      <c r="AI120" s="45">
        <v>396512.7</v>
      </c>
      <c r="AJ120" s="45">
        <v>396512.7</v>
      </c>
      <c r="AK120" s="45">
        <v>396512.7</v>
      </c>
      <c r="AL120" s="45">
        <v>396552.5</v>
      </c>
      <c r="AM120" s="45">
        <v>396552.5</v>
      </c>
      <c r="AN120" s="45">
        <v>396552.5</v>
      </c>
      <c r="AO120" s="45">
        <v>396552.5</v>
      </c>
      <c r="AP120" s="45">
        <v>421656.9</v>
      </c>
      <c r="AQ120" s="45">
        <v>421656.9</v>
      </c>
      <c r="AR120" s="45">
        <v>421656.9</v>
      </c>
      <c r="AS120" s="45">
        <v>421656.9</v>
      </c>
    </row>
    <row r="121" spans="1:45" x14ac:dyDescent="0.2">
      <c r="A121" s="4" t="s">
        <v>185</v>
      </c>
      <c r="B121" s="45">
        <v>375393</v>
      </c>
      <c r="C121" s="45">
        <v>375582.80699999997</v>
      </c>
      <c r="D121" s="45">
        <v>375582.80699999997</v>
      </c>
      <c r="E121" s="45">
        <v>375582.80699999997</v>
      </c>
      <c r="F121" s="45">
        <v>375582.80699999997</v>
      </c>
      <c r="G121" s="45">
        <v>374866.636</v>
      </c>
      <c r="H121" s="45">
        <v>374866.636</v>
      </c>
      <c r="I121" s="45">
        <v>374866.636</v>
      </c>
      <c r="J121" s="45">
        <v>374866.636</v>
      </c>
      <c r="K121" s="45">
        <v>374866.636</v>
      </c>
      <c r="L121" s="45">
        <v>374866.636</v>
      </c>
      <c r="M121" s="45">
        <v>374866.6</v>
      </c>
      <c r="N121" s="45">
        <v>375170.4</v>
      </c>
      <c r="O121" s="45">
        <v>375170.4</v>
      </c>
      <c r="P121" s="45">
        <v>375170.4</v>
      </c>
      <c r="Q121" s="45">
        <v>375170.4</v>
      </c>
      <c r="R121" s="45">
        <v>375123.5</v>
      </c>
      <c r="S121" s="45">
        <v>375123.5</v>
      </c>
      <c r="T121" s="45">
        <v>375123.5</v>
      </c>
      <c r="U121" s="45">
        <v>375123.5</v>
      </c>
      <c r="V121" s="45">
        <v>399949.7</v>
      </c>
      <c r="W121" s="45">
        <v>399949.7</v>
      </c>
      <c r="X121" s="45">
        <v>399949.7</v>
      </c>
      <c r="Y121" s="45">
        <v>399949.7</v>
      </c>
      <c r="Z121" s="45">
        <v>400052.5</v>
      </c>
      <c r="AA121" s="45">
        <v>400052.5</v>
      </c>
      <c r="AB121" s="45">
        <v>400052.5</v>
      </c>
      <c r="AC121" s="45">
        <v>400052.5</v>
      </c>
      <c r="AD121" s="45">
        <v>399998.7</v>
      </c>
      <c r="AE121" s="45">
        <v>399998.7</v>
      </c>
      <c r="AF121" s="45">
        <v>399998.7</v>
      </c>
      <c r="AG121" s="45">
        <v>399998.7</v>
      </c>
      <c r="AH121" s="45">
        <v>400012</v>
      </c>
      <c r="AI121" s="45">
        <v>400012</v>
      </c>
      <c r="AJ121" s="45">
        <v>400012</v>
      </c>
      <c r="AK121" s="45">
        <v>400012</v>
      </c>
      <c r="AL121" s="45">
        <v>400092.6</v>
      </c>
      <c r="AM121" s="45">
        <v>400092.6</v>
      </c>
      <c r="AN121" s="45">
        <v>400092.6</v>
      </c>
      <c r="AO121" s="45">
        <v>400092.6</v>
      </c>
      <c r="AP121" s="45">
        <v>426042.5</v>
      </c>
      <c r="AQ121" s="45">
        <v>426042.5</v>
      </c>
      <c r="AR121" s="45">
        <v>426042.5</v>
      </c>
      <c r="AS121" s="45">
        <v>426042.5</v>
      </c>
    </row>
    <row r="122" spans="1:45" x14ac:dyDescent="0.2">
      <c r="A122" s="4" t="s">
        <v>186</v>
      </c>
      <c r="B122" s="45">
        <v>380393</v>
      </c>
      <c r="C122" s="45">
        <v>380627.91100000002</v>
      </c>
      <c r="D122" s="45">
        <v>380627.91100000002</v>
      </c>
      <c r="E122" s="45">
        <v>380627.91100000002</v>
      </c>
      <c r="F122" s="45">
        <v>380627.91100000002</v>
      </c>
      <c r="G122" s="45">
        <v>380577.72700000001</v>
      </c>
      <c r="H122" s="45">
        <v>380577.72700000001</v>
      </c>
      <c r="I122" s="45">
        <v>380577.72700000001</v>
      </c>
      <c r="J122" s="45">
        <v>380577.72700000001</v>
      </c>
      <c r="K122" s="45">
        <v>380577.72700000001</v>
      </c>
      <c r="L122" s="45">
        <v>380577.72700000001</v>
      </c>
      <c r="M122" s="45">
        <v>380577.7</v>
      </c>
      <c r="N122" s="45">
        <v>380487.1</v>
      </c>
      <c r="O122" s="45">
        <v>380487.1</v>
      </c>
      <c r="P122" s="45">
        <v>380487.1</v>
      </c>
      <c r="Q122" s="45">
        <v>380487.1</v>
      </c>
      <c r="R122" s="45">
        <v>380482.2</v>
      </c>
      <c r="S122" s="45">
        <v>380482.2</v>
      </c>
      <c r="T122" s="45">
        <v>380482.2</v>
      </c>
      <c r="U122" s="45">
        <v>380482.2</v>
      </c>
      <c r="V122" s="45">
        <v>405963.6</v>
      </c>
      <c r="W122" s="45">
        <v>405963.6</v>
      </c>
      <c r="X122" s="45">
        <v>405963.6</v>
      </c>
      <c r="Y122" s="45">
        <v>405963.6</v>
      </c>
      <c r="Z122" s="45">
        <v>405809</v>
      </c>
      <c r="AA122" s="45">
        <v>405809</v>
      </c>
      <c r="AB122" s="45">
        <v>405809</v>
      </c>
      <c r="AC122" s="45">
        <v>405809</v>
      </c>
      <c r="AD122" s="45">
        <v>406246.6</v>
      </c>
      <c r="AE122" s="45">
        <v>406246.6</v>
      </c>
      <c r="AF122" s="45">
        <v>406246.6</v>
      </c>
      <c r="AG122" s="45">
        <v>406246.6</v>
      </c>
      <c r="AH122" s="45">
        <v>405860.9</v>
      </c>
      <c r="AI122" s="45">
        <v>405860.9</v>
      </c>
      <c r="AJ122" s="45">
        <v>405860.9</v>
      </c>
      <c r="AK122" s="45">
        <v>405860.9</v>
      </c>
      <c r="AL122" s="45">
        <v>405647.9</v>
      </c>
      <c r="AM122" s="45">
        <v>405647.9</v>
      </c>
      <c r="AN122" s="45">
        <v>405647.9</v>
      </c>
      <c r="AO122" s="45">
        <v>405647.9</v>
      </c>
      <c r="AP122" s="45">
        <v>432350.7</v>
      </c>
      <c r="AQ122" s="45">
        <v>432350.7</v>
      </c>
      <c r="AR122" s="45">
        <v>432350.7</v>
      </c>
      <c r="AS122" s="45">
        <v>432350.7</v>
      </c>
    </row>
    <row r="123" spans="1:45" x14ac:dyDescent="0.2">
      <c r="A123" s="4" t="s">
        <v>187</v>
      </c>
      <c r="B123" s="45">
        <v>384261</v>
      </c>
      <c r="C123" s="45">
        <v>384442.04599999997</v>
      </c>
      <c r="D123" s="45">
        <v>384442.04599999997</v>
      </c>
      <c r="E123" s="45">
        <v>384442.04599999997</v>
      </c>
      <c r="F123" s="45">
        <v>384442.04599999997</v>
      </c>
      <c r="G123" s="45">
        <v>384448.745</v>
      </c>
      <c r="H123" s="45">
        <v>384448.745</v>
      </c>
      <c r="I123" s="45">
        <v>384448.745</v>
      </c>
      <c r="J123" s="45">
        <v>384448.745</v>
      </c>
      <c r="K123" s="45">
        <v>384448.745</v>
      </c>
      <c r="L123" s="45">
        <v>384448.745</v>
      </c>
      <c r="M123" s="45">
        <v>384448.7</v>
      </c>
      <c r="N123" s="45">
        <v>384910.9</v>
      </c>
      <c r="O123" s="45">
        <v>384910.9</v>
      </c>
      <c r="P123" s="45">
        <v>384910.9</v>
      </c>
      <c r="Q123" s="45">
        <v>384910.9</v>
      </c>
      <c r="R123" s="45">
        <v>384816.8</v>
      </c>
      <c r="S123" s="45">
        <v>384816.8</v>
      </c>
      <c r="T123" s="45">
        <v>384816.8</v>
      </c>
      <c r="U123" s="45">
        <v>384816.8</v>
      </c>
      <c r="V123" s="45">
        <v>410670.5</v>
      </c>
      <c r="W123" s="45">
        <v>410670.5</v>
      </c>
      <c r="X123" s="45">
        <v>410670.5</v>
      </c>
      <c r="Y123" s="45">
        <v>410670.5</v>
      </c>
      <c r="Z123" s="45">
        <v>410575.5</v>
      </c>
      <c r="AA123" s="45">
        <v>410575.5</v>
      </c>
      <c r="AB123" s="45">
        <v>410575.5</v>
      </c>
      <c r="AC123" s="45">
        <v>410575.5</v>
      </c>
      <c r="AD123" s="45">
        <v>410395.8</v>
      </c>
      <c r="AE123" s="45">
        <v>410395.8</v>
      </c>
      <c r="AF123" s="45">
        <v>410395.8</v>
      </c>
      <c r="AG123" s="45">
        <v>410395.8</v>
      </c>
      <c r="AH123" s="45">
        <v>410377.7</v>
      </c>
      <c r="AI123" s="45">
        <v>410377.7</v>
      </c>
      <c r="AJ123" s="45">
        <v>410377.7</v>
      </c>
      <c r="AK123" s="45">
        <v>410377.7</v>
      </c>
      <c r="AL123" s="45">
        <v>410634.9</v>
      </c>
      <c r="AM123" s="45">
        <v>410634.9</v>
      </c>
      <c r="AN123" s="45">
        <v>410634.9</v>
      </c>
      <c r="AO123" s="45">
        <v>410634.9</v>
      </c>
      <c r="AP123" s="45">
        <v>437661.2</v>
      </c>
      <c r="AQ123" s="45">
        <v>437661.2</v>
      </c>
      <c r="AR123" s="45">
        <v>437661.2</v>
      </c>
      <c r="AS123" s="45">
        <v>437661.2</v>
      </c>
    </row>
    <row r="124" spans="1:45" x14ac:dyDescent="0.2">
      <c r="A124" s="4" t="s">
        <v>188</v>
      </c>
      <c r="B124" s="45">
        <v>388073</v>
      </c>
      <c r="C124" s="45">
        <v>388050.76799999998</v>
      </c>
      <c r="D124" s="45">
        <v>388050.76799999998</v>
      </c>
      <c r="E124" s="45">
        <v>388050.76799999998</v>
      </c>
      <c r="F124" s="45">
        <v>388050.76799999998</v>
      </c>
      <c r="G124" s="45">
        <v>387589.26299999998</v>
      </c>
      <c r="H124" s="45">
        <v>387589.26299999998</v>
      </c>
      <c r="I124" s="45">
        <v>387589.26299999998</v>
      </c>
      <c r="J124" s="45">
        <v>387589.26299999998</v>
      </c>
      <c r="K124" s="45">
        <v>387589.26299999998</v>
      </c>
      <c r="L124" s="45">
        <v>387589.26299999998</v>
      </c>
      <c r="M124" s="45">
        <v>387589.3</v>
      </c>
      <c r="N124" s="45">
        <v>387654.5</v>
      </c>
      <c r="O124" s="45">
        <v>387654.5</v>
      </c>
      <c r="P124" s="45">
        <v>387654.5</v>
      </c>
      <c r="Q124" s="45">
        <v>387654.5</v>
      </c>
      <c r="R124" s="45">
        <v>387503.2</v>
      </c>
      <c r="S124" s="45">
        <v>387503.2</v>
      </c>
      <c r="T124" s="45">
        <v>387503.2</v>
      </c>
      <c r="U124" s="45">
        <v>387503.2</v>
      </c>
      <c r="V124" s="45">
        <v>413395.20000000001</v>
      </c>
      <c r="W124" s="45">
        <v>413395.20000000001</v>
      </c>
      <c r="X124" s="45">
        <v>413395.20000000001</v>
      </c>
      <c r="Y124" s="45">
        <v>413395.20000000001</v>
      </c>
      <c r="Z124" s="45">
        <v>413578.6</v>
      </c>
      <c r="AA124" s="45">
        <v>413578.6</v>
      </c>
      <c r="AB124" s="45">
        <v>413578.6</v>
      </c>
      <c r="AC124" s="45">
        <v>413578.6</v>
      </c>
      <c r="AD124" s="45">
        <v>413734</v>
      </c>
      <c r="AE124" s="45">
        <v>413734</v>
      </c>
      <c r="AF124" s="45">
        <v>413734</v>
      </c>
      <c r="AG124" s="45">
        <v>413734</v>
      </c>
      <c r="AH124" s="45">
        <v>413730</v>
      </c>
      <c r="AI124" s="45">
        <v>413730</v>
      </c>
      <c r="AJ124" s="45">
        <v>413730</v>
      </c>
      <c r="AK124" s="45">
        <v>413730</v>
      </c>
      <c r="AL124" s="45">
        <v>413416.9</v>
      </c>
      <c r="AM124" s="45">
        <v>413416.9</v>
      </c>
      <c r="AN124" s="45">
        <v>413416.9</v>
      </c>
      <c r="AO124" s="45">
        <v>413416.9</v>
      </c>
      <c r="AP124" s="45">
        <v>440545.1</v>
      </c>
      <c r="AQ124" s="45">
        <v>440545.1</v>
      </c>
      <c r="AR124" s="45">
        <v>440545.1</v>
      </c>
      <c r="AS124" s="45">
        <v>440545.1</v>
      </c>
    </row>
    <row r="125" spans="1:45" x14ac:dyDescent="0.2">
      <c r="A125" s="4" t="s">
        <v>189</v>
      </c>
      <c r="B125" s="45">
        <v>390238</v>
      </c>
      <c r="C125" s="45">
        <v>390300.52399999998</v>
      </c>
      <c r="D125" s="45">
        <v>390300.52399999998</v>
      </c>
      <c r="E125" s="45">
        <v>390300.52399999998</v>
      </c>
      <c r="F125" s="45">
        <v>390300.52399999998</v>
      </c>
      <c r="G125" s="45">
        <v>389687.95500000002</v>
      </c>
      <c r="H125" s="45">
        <v>389687.95500000002</v>
      </c>
      <c r="I125" s="45">
        <v>389687.95500000002</v>
      </c>
      <c r="J125" s="45">
        <v>389687.95500000002</v>
      </c>
      <c r="K125" s="45">
        <v>389687.95500000002</v>
      </c>
      <c r="L125" s="45">
        <v>389687.95500000002</v>
      </c>
      <c r="M125" s="45">
        <v>389688</v>
      </c>
      <c r="N125" s="45">
        <v>389747.1</v>
      </c>
      <c r="O125" s="45">
        <v>389747.1</v>
      </c>
      <c r="P125" s="45">
        <v>389747.1</v>
      </c>
      <c r="Q125" s="45">
        <v>389747.1</v>
      </c>
      <c r="R125" s="45">
        <v>389627.4</v>
      </c>
      <c r="S125" s="45">
        <v>389627.4</v>
      </c>
      <c r="T125" s="45">
        <v>389627.4</v>
      </c>
      <c r="U125" s="45">
        <v>389627.4</v>
      </c>
      <c r="V125" s="45">
        <v>416221.6</v>
      </c>
      <c r="W125" s="45">
        <v>416221.6</v>
      </c>
      <c r="X125" s="45">
        <v>416221.6</v>
      </c>
      <c r="Y125" s="45">
        <v>416221.6</v>
      </c>
      <c r="Z125" s="45">
        <v>416225.3</v>
      </c>
      <c r="AA125" s="45">
        <v>416225.3</v>
      </c>
      <c r="AB125" s="45">
        <v>416225.3</v>
      </c>
      <c r="AC125" s="45">
        <v>416225.3</v>
      </c>
      <c r="AD125" s="45">
        <v>416272.4</v>
      </c>
      <c r="AE125" s="45">
        <v>416272.4</v>
      </c>
      <c r="AF125" s="45">
        <v>416272.4</v>
      </c>
      <c r="AG125" s="45">
        <v>416272.4</v>
      </c>
      <c r="AH125" s="45">
        <v>416272.8</v>
      </c>
      <c r="AI125" s="45">
        <v>416272.8</v>
      </c>
      <c r="AJ125" s="45">
        <v>416272.8</v>
      </c>
      <c r="AK125" s="45">
        <v>416272.8</v>
      </c>
      <c r="AL125" s="45">
        <v>416296.3</v>
      </c>
      <c r="AM125" s="45">
        <v>416296.3</v>
      </c>
      <c r="AN125" s="45">
        <v>416296.3</v>
      </c>
      <c r="AO125" s="45">
        <v>416296.3</v>
      </c>
      <c r="AP125" s="45">
        <v>444528.5</v>
      </c>
      <c r="AQ125" s="45">
        <v>444528.5</v>
      </c>
      <c r="AR125" s="45">
        <v>444528.5</v>
      </c>
      <c r="AS125" s="45">
        <v>444528.5</v>
      </c>
    </row>
    <row r="126" spans="1:45" x14ac:dyDescent="0.2">
      <c r="A126" s="4" t="s">
        <v>190</v>
      </c>
      <c r="B126" s="45">
        <v>395778</v>
      </c>
      <c r="C126" s="45">
        <v>395267.32299999997</v>
      </c>
      <c r="D126" s="45">
        <v>395267.32299999997</v>
      </c>
      <c r="E126" s="45">
        <v>395267.32299999997</v>
      </c>
      <c r="F126" s="45">
        <v>395267.32299999997</v>
      </c>
      <c r="G126" s="45">
        <v>396080.88900000002</v>
      </c>
      <c r="H126" s="45">
        <v>396080.88900000002</v>
      </c>
      <c r="I126" s="45">
        <v>396080.88900000002</v>
      </c>
      <c r="J126" s="45">
        <v>396080.88900000002</v>
      </c>
      <c r="K126" s="45">
        <v>396080.88900000002</v>
      </c>
      <c r="L126" s="45">
        <v>396080.88900000002</v>
      </c>
      <c r="M126" s="45">
        <v>396080.9</v>
      </c>
      <c r="N126" s="45">
        <v>395754</v>
      </c>
      <c r="O126" s="45">
        <v>395754</v>
      </c>
      <c r="P126" s="45">
        <v>395754</v>
      </c>
      <c r="Q126" s="45">
        <v>395754</v>
      </c>
      <c r="R126" s="45">
        <v>395806.7</v>
      </c>
      <c r="S126" s="45">
        <v>395806.7</v>
      </c>
      <c r="T126" s="45">
        <v>395806.7</v>
      </c>
      <c r="U126" s="45">
        <v>395806.7</v>
      </c>
      <c r="V126" s="45">
        <v>422316.7</v>
      </c>
      <c r="W126" s="45">
        <v>422316.7</v>
      </c>
      <c r="X126" s="45">
        <v>422316.7</v>
      </c>
      <c r="Y126" s="45">
        <v>422316.7</v>
      </c>
      <c r="Z126" s="45">
        <v>422193</v>
      </c>
      <c r="AA126" s="45">
        <v>422193</v>
      </c>
      <c r="AB126" s="45">
        <v>422193</v>
      </c>
      <c r="AC126" s="45">
        <v>422193</v>
      </c>
      <c r="AD126" s="45">
        <v>422283.4</v>
      </c>
      <c r="AE126" s="45">
        <v>422283.4</v>
      </c>
      <c r="AF126" s="45">
        <v>422283.4</v>
      </c>
      <c r="AG126" s="45">
        <v>422283.4</v>
      </c>
      <c r="AH126" s="45">
        <v>422521.7</v>
      </c>
      <c r="AI126" s="45">
        <v>422521.7</v>
      </c>
      <c r="AJ126" s="45">
        <v>422521.7</v>
      </c>
      <c r="AK126" s="45">
        <v>422521.7</v>
      </c>
      <c r="AL126" s="45">
        <v>422772.7</v>
      </c>
      <c r="AM126" s="45">
        <v>422772.7</v>
      </c>
      <c r="AN126" s="45">
        <v>422772.7</v>
      </c>
      <c r="AO126" s="45">
        <v>422772.7</v>
      </c>
      <c r="AP126" s="45">
        <v>448835.8</v>
      </c>
      <c r="AQ126" s="45">
        <v>448835.8</v>
      </c>
      <c r="AR126" s="45">
        <v>448835.8</v>
      </c>
      <c r="AS126" s="45">
        <v>448835.8</v>
      </c>
    </row>
    <row r="127" spans="1:45" x14ac:dyDescent="0.2">
      <c r="A127" s="4" t="s">
        <v>191</v>
      </c>
      <c r="B127" s="45">
        <v>397428</v>
      </c>
      <c r="C127" s="45">
        <v>398016.55599999998</v>
      </c>
      <c r="D127" s="45">
        <v>398016.55599999998</v>
      </c>
      <c r="E127" s="45">
        <v>398016.55599999998</v>
      </c>
      <c r="F127" s="45">
        <v>398016.55599999998</v>
      </c>
      <c r="G127" s="45">
        <v>397603.14899999998</v>
      </c>
      <c r="H127" s="45">
        <v>397603.14899999998</v>
      </c>
      <c r="I127" s="45">
        <v>397603.14899999998</v>
      </c>
      <c r="J127" s="45">
        <v>397603.14899999998</v>
      </c>
      <c r="K127" s="45">
        <v>397603.14899999998</v>
      </c>
      <c r="L127" s="45">
        <v>397603.14899999998</v>
      </c>
      <c r="M127" s="45">
        <v>397603.1</v>
      </c>
      <c r="N127" s="45">
        <v>397200.3</v>
      </c>
      <c r="O127" s="45">
        <v>397200.3</v>
      </c>
      <c r="P127" s="45">
        <v>397200.3</v>
      </c>
      <c r="Q127" s="45">
        <v>397200.3</v>
      </c>
      <c r="R127" s="45">
        <v>397164.9</v>
      </c>
      <c r="S127" s="45">
        <v>397164.9</v>
      </c>
      <c r="T127" s="45">
        <v>397164.9</v>
      </c>
      <c r="U127" s="45">
        <v>397164.9</v>
      </c>
      <c r="V127" s="45">
        <v>424558.7</v>
      </c>
      <c r="W127" s="45">
        <v>424558.7</v>
      </c>
      <c r="X127" s="45">
        <v>424558.7</v>
      </c>
      <c r="Y127" s="45">
        <v>424558.7</v>
      </c>
      <c r="Z127" s="45">
        <v>424612.4</v>
      </c>
      <c r="AA127" s="45">
        <v>424612.4</v>
      </c>
      <c r="AB127" s="45">
        <v>424612.4</v>
      </c>
      <c r="AC127" s="45">
        <v>424612.4</v>
      </c>
      <c r="AD127" s="45">
        <v>425092.7</v>
      </c>
      <c r="AE127" s="45">
        <v>425092.7</v>
      </c>
      <c r="AF127" s="45">
        <v>425092.7</v>
      </c>
      <c r="AG127" s="45">
        <v>425092.7</v>
      </c>
      <c r="AH127" s="45">
        <v>425038.9</v>
      </c>
      <c r="AI127" s="45">
        <v>425038.9</v>
      </c>
      <c r="AJ127" s="45">
        <v>425038.9</v>
      </c>
      <c r="AK127" s="45">
        <v>425038.9</v>
      </c>
      <c r="AL127" s="45">
        <v>424978.1</v>
      </c>
      <c r="AM127" s="45">
        <v>424978.1</v>
      </c>
      <c r="AN127" s="45">
        <v>424978.1</v>
      </c>
      <c r="AO127" s="45">
        <v>424978.1</v>
      </c>
      <c r="AP127" s="45">
        <v>452367.5</v>
      </c>
      <c r="AQ127" s="45">
        <v>452367.5</v>
      </c>
      <c r="AR127" s="45">
        <v>452367.5</v>
      </c>
      <c r="AS127" s="45">
        <v>452367.5</v>
      </c>
    </row>
    <row r="128" spans="1:45" x14ac:dyDescent="0.2">
      <c r="A128" s="4" t="s">
        <v>192</v>
      </c>
      <c r="B128" s="45">
        <v>395939</v>
      </c>
      <c r="C128" s="45">
        <v>396138.79300000001</v>
      </c>
      <c r="D128" s="45">
        <v>396138.79300000001</v>
      </c>
      <c r="E128" s="45">
        <v>396138.79300000001</v>
      </c>
      <c r="F128" s="45">
        <v>396138.79300000001</v>
      </c>
      <c r="G128" s="45">
        <v>395677.88</v>
      </c>
      <c r="H128" s="45">
        <v>395677.88</v>
      </c>
      <c r="I128" s="45">
        <v>395677.88</v>
      </c>
      <c r="J128" s="45">
        <v>395677.88</v>
      </c>
      <c r="K128" s="45">
        <v>395677.88</v>
      </c>
      <c r="L128" s="45">
        <v>395677.88</v>
      </c>
      <c r="M128" s="45">
        <v>395677.9</v>
      </c>
      <c r="N128" s="45">
        <v>396118.3</v>
      </c>
      <c r="O128" s="45">
        <v>396118.3</v>
      </c>
      <c r="P128" s="45">
        <v>396118.3</v>
      </c>
      <c r="Q128" s="45">
        <v>396118.3</v>
      </c>
      <c r="R128" s="45">
        <v>396177.8</v>
      </c>
      <c r="S128" s="45">
        <v>396177.8</v>
      </c>
      <c r="T128" s="45">
        <v>396177.8</v>
      </c>
      <c r="U128" s="45">
        <v>396177.8</v>
      </c>
      <c r="V128" s="45">
        <v>423323.1</v>
      </c>
      <c r="W128" s="45">
        <v>423323.1</v>
      </c>
      <c r="X128" s="45">
        <v>423323.1</v>
      </c>
      <c r="Y128" s="45">
        <v>423323.1</v>
      </c>
      <c r="Z128" s="45">
        <v>423305.9</v>
      </c>
      <c r="AA128" s="45">
        <v>423305.9</v>
      </c>
      <c r="AB128" s="45">
        <v>423305.9</v>
      </c>
      <c r="AC128" s="45">
        <v>423305.9</v>
      </c>
      <c r="AD128" s="45">
        <v>423414.5</v>
      </c>
      <c r="AE128" s="45">
        <v>423414.5</v>
      </c>
      <c r="AF128" s="45">
        <v>423414.5</v>
      </c>
      <c r="AG128" s="45">
        <v>423414.5</v>
      </c>
      <c r="AH128" s="45">
        <v>423550.6</v>
      </c>
      <c r="AI128" s="45">
        <v>423550.6</v>
      </c>
      <c r="AJ128" s="45">
        <v>423550.6</v>
      </c>
      <c r="AK128" s="45">
        <v>423550.6</v>
      </c>
      <c r="AL128" s="45">
        <v>423795.4</v>
      </c>
      <c r="AM128" s="45">
        <v>423795.4</v>
      </c>
      <c r="AN128" s="45">
        <v>423795.4</v>
      </c>
      <c r="AO128" s="45">
        <v>423795.4</v>
      </c>
      <c r="AP128" s="45">
        <v>452065.4</v>
      </c>
      <c r="AQ128" s="45">
        <v>452065.4</v>
      </c>
      <c r="AR128" s="45">
        <v>452065.4</v>
      </c>
      <c r="AS128" s="45">
        <v>452065.4</v>
      </c>
    </row>
    <row r="129" spans="1:45" x14ac:dyDescent="0.2">
      <c r="A129" s="4" t="s">
        <v>193</v>
      </c>
      <c r="B129" s="45">
        <v>394999</v>
      </c>
      <c r="C129" s="45">
        <v>394721.50300000003</v>
      </c>
      <c r="D129" s="45">
        <v>394721.50300000003</v>
      </c>
      <c r="E129" s="45">
        <v>394721.50300000003</v>
      </c>
      <c r="F129" s="45">
        <v>394721.50300000003</v>
      </c>
      <c r="G129" s="45">
        <v>394785.28499999997</v>
      </c>
      <c r="H129" s="45">
        <v>394785.28499999997</v>
      </c>
      <c r="I129" s="45">
        <v>394785.28499999997</v>
      </c>
      <c r="J129" s="45">
        <v>394785.28499999997</v>
      </c>
      <c r="K129" s="45">
        <v>394785.28499999997</v>
      </c>
      <c r="L129" s="45">
        <v>394785.28499999997</v>
      </c>
      <c r="M129" s="45">
        <v>394785.3</v>
      </c>
      <c r="N129" s="45">
        <v>394439.1</v>
      </c>
      <c r="O129" s="45">
        <v>394439.1</v>
      </c>
      <c r="P129" s="45">
        <v>394439.1</v>
      </c>
      <c r="Q129" s="45">
        <v>394439.1</v>
      </c>
      <c r="R129" s="45">
        <v>394551.8</v>
      </c>
      <c r="S129" s="45">
        <v>394551.8</v>
      </c>
      <c r="T129" s="45">
        <v>394551.8</v>
      </c>
      <c r="U129" s="45">
        <v>394551.8</v>
      </c>
      <c r="V129" s="45">
        <v>422302.6</v>
      </c>
      <c r="W129" s="45">
        <v>422302.6</v>
      </c>
      <c r="X129" s="45">
        <v>422302.6</v>
      </c>
      <c r="Y129" s="45">
        <v>422302.6</v>
      </c>
      <c r="Z129" s="45">
        <v>422319.5</v>
      </c>
      <c r="AA129" s="45">
        <v>422319.5</v>
      </c>
      <c r="AB129" s="45">
        <v>422319.5</v>
      </c>
      <c r="AC129" s="45">
        <v>422319.5</v>
      </c>
      <c r="AD129" s="45">
        <v>422208.8</v>
      </c>
      <c r="AE129" s="45">
        <v>422208.8</v>
      </c>
      <c r="AF129" s="45">
        <v>422208.8</v>
      </c>
      <c r="AG129" s="45">
        <v>422208.8</v>
      </c>
      <c r="AH129" s="45">
        <v>422209</v>
      </c>
      <c r="AI129" s="45">
        <v>422209</v>
      </c>
      <c r="AJ129" s="45">
        <v>422209</v>
      </c>
      <c r="AK129" s="45">
        <v>422209</v>
      </c>
      <c r="AL129" s="45">
        <v>422049.9</v>
      </c>
      <c r="AM129" s="45">
        <v>422049.9</v>
      </c>
      <c r="AN129" s="45">
        <v>422049.9</v>
      </c>
      <c r="AO129" s="45">
        <v>422049.9</v>
      </c>
      <c r="AP129" s="45">
        <v>450324.4</v>
      </c>
      <c r="AQ129" s="45">
        <v>450324.4</v>
      </c>
      <c r="AR129" s="45">
        <v>450324.4</v>
      </c>
      <c r="AS129" s="45">
        <v>450324.4</v>
      </c>
    </row>
    <row r="130" spans="1:45" x14ac:dyDescent="0.2">
      <c r="A130" s="4" t="s">
        <v>194</v>
      </c>
      <c r="B130" s="45">
        <v>394690</v>
      </c>
      <c r="C130" s="45">
        <v>394279.26500000001</v>
      </c>
      <c r="D130" s="45">
        <v>394279.26500000001</v>
      </c>
      <c r="E130" s="45">
        <v>394279.26500000001</v>
      </c>
      <c r="F130" s="45">
        <v>394279.26500000001</v>
      </c>
      <c r="G130" s="45">
        <v>394376.647</v>
      </c>
      <c r="H130" s="45">
        <v>394376.647</v>
      </c>
      <c r="I130" s="45">
        <v>394376.647</v>
      </c>
      <c r="J130" s="45">
        <v>394376.647</v>
      </c>
      <c r="K130" s="45">
        <v>394376.647</v>
      </c>
      <c r="L130" s="45">
        <v>394376.647</v>
      </c>
      <c r="M130" s="45">
        <v>394376.6</v>
      </c>
      <c r="N130" s="45">
        <v>394633.4</v>
      </c>
      <c r="O130" s="45">
        <v>394633.4</v>
      </c>
      <c r="P130" s="45">
        <v>394633.4</v>
      </c>
      <c r="Q130" s="45">
        <v>394633.4</v>
      </c>
      <c r="R130" s="45">
        <v>394695.4</v>
      </c>
      <c r="S130" s="45">
        <v>394695.4</v>
      </c>
      <c r="T130" s="45">
        <v>394695.4</v>
      </c>
      <c r="U130" s="45">
        <v>394695.4</v>
      </c>
      <c r="V130" s="45">
        <v>421967.1</v>
      </c>
      <c r="W130" s="45">
        <v>421967.1</v>
      </c>
      <c r="X130" s="45">
        <v>421967.1</v>
      </c>
      <c r="Y130" s="45">
        <v>421967.1</v>
      </c>
      <c r="Z130" s="45">
        <v>421893.9</v>
      </c>
      <c r="AA130" s="45">
        <v>421893.9</v>
      </c>
      <c r="AB130" s="45">
        <v>421893.9</v>
      </c>
      <c r="AC130" s="45">
        <v>421893.9</v>
      </c>
      <c r="AD130" s="45">
        <v>421458.7</v>
      </c>
      <c r="AE130" s="45">
        <v>421458.7</v>
      </c>
      <c r="AF130" s="45">
        <v>421458.7</v>
      </c>
      <c r="AG130" s="45">
        <v>421458.7</v>
      </c>
      <c r="AH130" s="45">
        <v>421365.7</v>
      </c>
      <c r="AI130" s="45">
        <v>421365.7</v>
      </c>
      <c r="AJ130" s="45">
        <v>421365.7</v>
      </c>
      <c r="AK130" s="45">
        <v>421365.7</v>
      </c>
      <c r="AL130" s="45">
        <v>421286.9</v>
      </c>
      <c r="AM130" s="45">
        <v>421286.9</v>
      </c>
      <c r="AN130" s="45">
        <v>421286.9</v>
      </c>
      <c r="AO130" s="45">
        <v>421286.9</v>
      </c>
      <c r="AP130" s="45">
        <v>449673.4</v>
      </c>
      <c r="AQ130" s="45">
        <v>449673.4</v>
      </c>
      <c r="AR130" s="45">
        <v>449673.4</v>
      </c>
      <c r="AS130" s="45">
        <v>449673.4</v>
      </c>
    </row>
    <row r="131" spans="1:45" x14ac:dyDescent="0.2">
      <c r="A131" s="4" t="s">
        <v>195</v>
      </c>
      <c r="B131" s="45">
        <v>394976</v>
      </c>
      <c r="C131" s="45">
        <v>394967.37</v>
      </c>
      <c r="D131" s="45">
        <v>394967.37</v>
      </c>
      <c r="E131" s="45">
        <v>394967.37</v>
      </c>
      <c r="F131" s="45">
        <v>394967.37</v>
      </c>
      <c r="G131" s="45">
        <v>394701.005</v>
      </c>
      <c r="H131" s="45">
        <v>394701.005</v>
      </c>
      <c r="I131" s="45">
        <v>394701.005</v>
      </c>
      <c r="J131" s="45">
        <v>394701.005</v>
      </c>
      <c r="K131" s="45">
        <v>394701.005</v>
      </c>
      <c r="L131" s="45">
        <v>394701.005</v>
      </c>
      <c r="M131" s="45">
        <v>394701</v>
      </c>
      <c r="N131" s="45">
        <v>394309.8</v>
      </c>
      <c r="O131" s="45">
        <v>394309.8</v>
      </c>
      <c r="P131" s="45">
        <v>394309.8</v>
      </c>
      <c r="Q131" s="45">
        <v>394309.8</v>
      </c>
      <c r="R131" s="45">
        <v>394422.9</v>
      </c>
      <c r="S131" s="45">
        <v>394422.9</v>
      </c>
      <c r="T131" s="45">
        <v>394422.9</v>
      </c>
      <c r="U131" s="45">
        <v>394422.9</v>
      </c>
      <c r="V131" s="45">
        <v>421778.3</v>
      </c>
      <c r="W131" s="45">
        <v>421778.3</v>
      </c>
      <c r="X131" s="45">
        <v>421778.3</v>
      </c>
      <c r="Y131" s="45">
        <v>421778.3</v>
      </c>
      <c r="Z131" s="45">
        <v>421975.8</v>
      </c>
      <c r="AA131" s="45">
        <v>421975.8</v>
      </c>
      <c r="AB131" s="45">
        <v>421975.8</v>
      </c>
      <c r="AC131" s="45">
        <v>421975.8</v>
      </c>
      <c r="AD131" s="45">
        <v>421926.1</v>
      </c>
      <c r="AE131" s="45">
        <v>421926.1</v>
      </c>
      <c r="AF131" s="45">
        <v>421926.1</v>
      </c>
      <c r="AG131" s="45">
        <v>421926.1</v>
      </c>
      <c r="AH131" s="45">
        <v>422064.8</v>
      </c>
      <c r="AI131" s="45">
        <v>422064.8</v>
      </c>
      <c r="AJ131" s="45">
        <v>422064.8</v>
      </c>
      <c r="AK131" s="45">
        <v>422064.8</v>
      </c>
      <c r="AL131" s="45">
        <v>422232.3</v>
      </c>
      <c r="AM131" s="45">
        <v>422232.3</v>
      </c>
      <c r="AN131" s="45">
        <v>422232.3</v>
      </c>
      <c r="AO131" s="45">
        <v>422232.3</v>
      </c>
      <c r="AP131" s="45">
        <v>450235</v>
      </c>
      <c r="AQ131" s="45">
        <v>450235</v>
      </c>
      <c r="AR131" s="45">
        <v>450235</v>
      </c>
      <c r="AS131" s="45">
        <v>450235</v>
      </c>
    </row>
    <row r="132" spans="1:45" x14ac:dyDescent="0.2">
      <c r="A132" s="4" t="s">
        <v>196</v>
      </c>
      <c r="B132" s="45">
        <v>396542</v>
      </c>
      <c r="C132" s="45">
        <v>396574.66</v>
      </c>
      <c r="D132" s="45">
        <v>396574.66</v>
      </c>
      <c r="E132" s="45">
        <v>396574.66</v>
      </c>
      <c r="F132" s="45">
        <v>396574.66</v>
      </c>
      <c r="G132" s="45">
        <v>396274.15700000001</v>
      </c>
      <c r="H132" s="45">
        <v>396274.15700000001</v>
      </c>
      <c r="I132" s="45">
        <v>396274.15700000001</v>
      </c>
      <c r="J132" s="45">
        <v>396274.15700000001</v>
      </c>
      <c r="K132" s="45">
        <v>396274.15700000001</v>
      </c>
      <c r="L132" s="45">
        <v>396274.15700000001</v>
      </c>
      <c r="M132" s="45">
        <v>396274.2</v>
      </c>
      <c r="N132" s="45">
        <v>396248.9</v>
      </c>
      <c r="O132" s="45">
        <v>396248.9</v>
      </c>
      <c r="P132" s="45">
        <v>396248.9</v>
      </c>
      <c r="Q132" s="45">
        <v>396248.9</v>
      </c>
      <c r="R132" s="45">
        <v>396215.9</v>
      </c>
      <c r="S132" s="45">
        <v>396215.9</v>
      </c>
      <c r="T132" s="45">
        <v>396215.9</v>
      </c>
      <c r="U132" s="45">
        <v>396215.9</v>
      </c>
      <c r="V132" s="45">
        <v>423734</v>
      </c>
      <c r="W132" s="45">
        <v>423734</v>
      </c>
      <c r="X132" s="45">
        <v>423734</v>
      </c>
      <c r="Y132" s="45">
        <v>423734</v>
      </c>
      <c r="Z132" s="45">
        <v>423619.5</v>
      </c>
      <c r="AA132" s="45">
        <v>423619.5</v>
      </c>
      <c r="AB132" s="45">
        <v>423619.5</v>
      </c>
      <c r="AC132" s="45">
        <v>423619.5</v>
      </c>
      <c r="AD132" s="45">
        <v>423652.1</v>
      </c>
      <c r="AE132" s="45">
        <v>423652.1</v>
      </c>
      <c r="AF132" s="45">
        <v>423652.1</v>
      </c>
      <c r="AG132" s="45">
        <v>423652.1</v>
      </c>
      <c r="AH132" s="45">
        <v>423593.4</v>
      </c>
      <c r="AI132" s="45">
        <v>423593.4</v>
      </c>
      <c r="AJ132" s="45">
        <v>423593.4</v>
      </c>
      <c r="AK132" s="45">
        <v>423593.4</v>
      </c>
      <c r="AL132" s="45">
        <v>423723.4</v>
      </c>
      <c r="AM132" s="45">
        <v>423723.4</v>
      </c>
      <c r="AN132" s="45">
        <v>423723.4</v>
      </c>
      <c r="AO132" s="45">
        <v>423723.4</v>
      </c>
      <c r="AP132" s="45">
        <v>451479.7</v>
      </c>
      <c r="AQ132" s="45">
        <v>451479.7</v>
      </c>
      <c r="AR132" s="45">
        <v>451479.7</v>
      </c>
      <c r="AS132" s="45">
        <v>451479.7</v>
      </c>
    </row>
    <row r="133" spans="1:45" x14ac:dyDescent="0.2">
      <c r="A133" s="4" t="s">
        <v>197</v>
      </c>
      <c r="B133" s="45">
        <v>397503</v>
      </c>
      <c r="C133" s="45">
        <v>397552.01899999997</v>
      </c>
      <c r="D133" s="45">
        <v>397552.01899999997</v>
      </c>
      <c r="E133" s="45">
        <v>397552.01899999997</v>
      </c>
      <c r="F133" s="45">
        <v>397552.01899999997</v>
      </c>
      <c r="G133" s="45">
        <v>397410.19799999997</v>
      </c>
      <c r="H133" s="45">
        <v>397410.19799999997</v>
      </c>
      <c r="I133" s="45">
        <v>397410.19799999997</v>
      </c>
      <c r="J133" s="45">
        <v>397410.19799999997</v>
      </c>
      <c r="K133" s="45">
        <v>397410.19799999997</v>
      </c>
      <c r="L133" s="45">
        <v>397410.19799999997</v>
      </c>
      <c r="M133" s="45">
        <v>397410.2</v>
      </c>
      <c r="N133" s="45">
        <v>397100.5</v>
      </c>
      <c r="O133" s="45">
        <v>397100.5</v>
      </c>
      <c r="P133" s="45">
        <v>397100.5</v>
      </c>
      <c r="Q133" s="45">
        <v>397100.5</v>
      </c>
      <c r="R133" s="45">
        <v>397202.7</v>
      </c>
      <c r="S133" s="45">
        <v>397202.7</v>
      </c>
      <c r="T133" s="45">
        <v>397202.7</v>
      </c>
      <c r="U133" s="45">
        <v>397202.7</v>
      </c>
      <c r="V133" s="45">
        <v>424623</v>
      </c>
      <c r="W133" s="45">
        <v>424623</v>
      </c>
      <c r="X133" s="45">
        <v>424623</v>
      </c>
      <c r="Y133" s="45">
        <v>424623</v>
      </c>
      <c r="Z133" s="45">
        <v>424564.6</v>
      </c>
      <c r="AA133" s="45">
        <v>424564.6</v>
      </c>
      <c r="AB133" s="45">
        <v>424564.6</v>
      </c>
      <c r="AC133" s="45">
        <v>424564.6</v>
      </c>
      <c r="AD133" s="45">
        <v>424620.9</v>
      </c>
      <c r="AE133" s="45">
        <v>424620.9</v>
      </c>
      <c r="AF133" s="45">
        <v>424620.9</v>
      </c>
      <c r="AG133" s="45">
        <v>424620.9</v>
      </c>
      <c r="AH133" s="45">
        <v>424461</v>
      </c>
      <c r="AI133" s="45">
        <v>424461</v>
      </c>
      <c r="AJ133" s="45">
        <v>424461</v>
      </c>
      <c r="AK133" s="45">
        <v>424461</v>
      </c>
      <c r="AL133" s="45">
        <v>424483.7</v>
      </c>
      <c r="AM133" s="45">
        <v>424483.7</v>
      </c>
      <c r="AN133" s="45">
        <v>424483.7</v>
      </c>
      <c r="AO133" s="45">
        <v>424483.7</v>
      </c>
      <c r="AP133" s="45">
        <v>452267.2</v>
      </c>
      <c r="AQ133" s="45">
        <v>452267.2</v>
      </c>
      <c r="AR133" s="45">
        <v>452267.2</v>
      </c>
      <c r="AS133" s="45">
        <v>452267.2</v>
      </c>
    </row>
    <row r="134" spans="1:45" x14ac:dyDescent="0.2">
      <c r="A134" s="4" t="s">
        <v>198</v>
      </c>
      <c r="B134" s="45">
        <v>397965</v>
      </c>
      <c r="C134" s="45">
        <v>398034.88699999999</v>
      </c>
      <c r="D134" s="45">
        <v>398034.88699999999</v>
      </c>
      <c r="E134" s="45">
        <v>398034.88699999999</v>
      </c>
      <c r="F134" s="45">
        <v>398034.88699999999</v>
      </c>
      <c r="G134" s="45">
        <v>397970.68199999997</v>
      </c>
      <c r="H134" s="45">
        <v>397970.68199999997</v>
      </c>
      <c r="I134" s="45">
        <v>397970.68199999997</v>
      </c>
      <c r="J134" s="45">
        <v>397970.68199999997</v>
      </c>
      <c r="K134" s="45">
        <v>397970.68199999997</v>
      </c>
      <c r="L134" s="45">
        <v>397970.68199999997</v>
      </c>
      <c r="M134" s="45">
        <v>397970.7</v>
      </c>
      <c r="N134" s="45">
        <v>398641.6</v>
      </c>
      <c r="O134" s="45">
        <v>398641.6</v>
      </c>
      <c r="P134" s="45">
        <v>398641.6</v>
      </c>
      <c r="Q134" s="45">
        <v>398641.6</v>
      </c>
      <c r="R134" s="45">
        <v>398619.6</v>
      </c>
      <c r="S134" s="45">
        <v>398619.6</v>
      </c>
      <c r="T134" s="45">
        <v>398619.6</v>
      </c>
      <c r="U134" s="45">
        <v>398619.6</v>
      </c>
      <c r="V134" s="45">
        <v>426237.2</v>
      </c>
      <c r="W134" s="45">
        <v>426237.2</v>
      </c>
      <c r="X134" s="45">
        <v>426237.2</v>
      </c>
      <c r="Y134" s="45">
        <v>426237.2</v>
      </c>
      <c r="Z134" s="45">
        <v>426191.7</v>
      </c>
      <c r="AA134" s="45">
        <v>426191.7</v>
      </c>
      <c r="AB134" s="45">
        <v>426191.7</v>
      </c>
      <c r="AC134" s="45">
        <v>426191.7</v>
      </c>
      <c r="AD134" s="45">
        <v>426198.2</v>
      </c>
      <c r="AE134" s="45">
        <v>426198.2</v>
      </c>
      <c r="AF134" s="45">
        <v>426198.2</v>
      </c>
      <c r="AG134" s="45">
        <v>426198.2</v>
      </c>
      <c r="AH134" s="45">
        <v>426261.5</v>
      </c>
      <c r="AI134" s="45">
        <v>426261.5</v>
      </c>
      <c r="AJ134" s="45">
        <v>426261.5</v>
      </c>
      <c r="AK134" s="45">
        <v>426261.5</v>
      </c>
      <c r="AL134" s="45">
        <v>425887.3</v>
      </c>
      <c r="AM134" s="45">
        <v>425887.3</v>
      </c>
      <c r="AN134" s="45">
        <v>425887.3</v>
      </c>
      <c r="AO134" s="45">
        <v>425887.3</v>
      </c>
      <c r="AP134" s="45">
        <v>454881.7</v>
      </c>
      <c r="AQ134" s="45">
        <v>454881.7</v>
      </c>
      <c r="AR134" s="45">
        <v>454881.7</v>
      </c>
      <c r="AS134" s="45">
        <v>454881.7</v>
      </c>
    </row>
    <row r="135" spans="1:45" x14ac:dyDescent="0.2">
      <c r="A135" s="4" t="s">
        <v>199</v>
      </c>
      <c r="B135" s="45">
        <v>397607</v>
      </c>
      <c r="C135" s="45">
        <v>397452.58</v>
      </c>
      <c r="D135" s="45">
        <v>397452.58</v>
      </c>
      <c r="E135" s="45">
        <v>397452.58</v>
      </c>
      <c r="F135" s="45">
        <v>397452.58</v>
      </c>
      <c r="G135" s="45">
        <v>397473.55</v>
      </c>
      <c r="H135" s="45">
        <v>397473.55</v>
      </c>
      <c r="I135" s="45">
        <v>397473.55</v>
      </c>
      <c r="J135" s="45">
        <v>397473.55</v>
      </c>
      <c r="K135" s="45">
        <v>397473.55</v>
      </c>
      <c r="L135" s="45">
        <v>397473.55</v>
      </c>
      <c r="M135" s="45">
        <v>397473.6</v>
      </c>
      <c r="N135" s="45">
        <v>397450.2</v>
      </c>
      <c r="O135" s="45">
        <v>397450.2</v>
      </c>
      <c r="P135" s="45">
        <v>397450.2</v>
      </c>
      <c r="Q135" s="45">
        <v>397450.2</v>
      </c>
      <c r="R135" s="45">
        <v>397516.1</v>
      </c>
      <c r="S135" s="45">
        <v>397516.1</v>
      </c>
      <c r="T135" s="45">
        <v>397516.1</v>
      </c>
      <c r="U135" s="45">
        <v>397516.1</v>
      </c>
      <c r="V135" s="45">
        <v>424564</v>
      </c>
      <c r="W135" s="45">
        <v>424564</v>
      </c>
      <c r="X135" s="45">
        <v>424564</v>
      </c>
      <c r="Y135" s="45">
        <v>424564</v>
      </c>
      <c r="Z135" s="45">
        <v>424459.6</v>
      </c>
      <c r="AA135" s="45">
        <v>424459.6</v>
      </c>
      <c r="AB135" s="45">
        <v>424459.6</v>
      </c>
      <c r="AC135" s="45">
        <v>424459.6</v>
      </c>
      <c r="AD135" s="45">
        <v>424724.4</v>
      </c>
      <c r="AE135" s="45">
        <v>424724.4</v>
      </c>
      <c r="AF135" s="45">
        <v>424724.4</v>
      </c>
      <c r="AG135" s="45">
        <v>424724.4</v>
      </c>
      <c r="AH135" s="45">
        <v>424750.1</v>
      </c>
      <c r="AI135" s="45">
        <v>424750.1</v>
      </c>
      <c r="AJ135" s="45">
        <v>424750.1</v>
      </c>
      <c r="AK135" s="45">
        <v>424750.1</v>
      </c>
      <c r="AL135" s="45">
        <v>424612.5</v>
      </c>
      <c r="AM135" s="45">
        <v>424612.5</v>
      </c>
      <c r="AN135" s="45">
        <v>424612.5</v>
      </c>
      <c r="AO135" s="45">
        <v>424612.5</v>
      </c>
      <c r="AP135" s="45">
        <v>452980.2</v>
      </c>
      <c r="AQ135" s="45">
        <v>452980.2</v>
      </c>
      <c r="AR135" s="45">
        <v>452980.2</v>
      </c>
      <c r="AS135" s="45">
        <v>452980.2</v>
      </c>
    </row>
    <row r="136" spans="1:45" x14ac:dyDescent="0.2">
      <c r="A136" s="4" t="s">
        <v>200</v>
      </c>
      <c r="B136" s="45">
        <v>396262</v>
      </c>
      <c r="C136" s="45">
        <v>396392.30699999997</v>
      </c>
      <c r="D136" s="45">
        <v>396392.30699999997</v>
      </c>
      <c r="E136" s="45">
        <v>396392.30699999997</v>
      </c>
      <c r="F136" s="45">
        <v>396392.30699999997</v>
      </c>
      <c r="G136" s="45">
        <v>396141.75599999999</v>
      </c>
      <c r="H136" s="45">
        <v>396141.75599999999</v>
      </c>
      <c r="I136" s="45">
        <v>396141.75599999999</v>
      </c>
      <c r="J136" s="45">
        <v>396141.75599999999</v>
      </c>
      <c r="K136" s="45">
        <v>396141.75599999999</v>
      </c>
      <c r="L136" s="45">
        <v>396141.75599999999</v>
      </c>
      <c r="M136" s="45">
        <v>396141.8</v>
      </c>
      <c r="N136" s="45">
        <v>396197.4</v>
      </c>
      <c r="O136" s="45">
        <v>396197.4</v>
      </c>
      <c r="P136" s="45">
        <v>396197.4</v>
      </c>
      <c r="Q136" s="45">
        <v>396197.4</v>
      </c>
      <c r="R136" s="45">
        <v>396173.7</v>
      </c>
      <c r="S136" s="45">
        <v>396173.7</v>
      </c>
      <c r="T136" s="45">
        <v>396173.7</v>
      </c>
      <c r="U136" s="45">
        <v>396173.7</v>
      </c>
      <c r="V136" s="45">
        <v>424114.4</v>
      </c>
      <c r="W136" s="45">
        <v>424114.4</v>
      </c>
      <c r="X136" s="45">
        <v>424114.4</v>
      </c>
      <c r="Y136" s="45">
        <v>424114.4</v>
      </c>
      <c r="Z136" s="45">
        <v>424165.1</v>
      </c>
      <c r="AA136" s="45">
        <v>424165.1</v>
      </c>
      <c r="AB136" s="45">
        <v>424165.1</v>
      </c>
      <c r="AC136" s="45">
        <v>424165.1</v>
      </c>
      <c r="AD136" s="45">
        <v>424045.7</v>
      </c>
      <c r="AE136" s="45">
        <v>424045.7</v>
      </c>
      <c r="AF136" s="45">
        <v>424045.7</v>
      </c>
      <c r="AG136" s="45">
        <v>424045.7</v>
      </c>
      <c r="AH136" s="45">
        <v>424185.3</v>
      </c>
      <c r="AI136" s="45">
        <v>424185.3</v>
      </c>
      <c r="AJ136" s="45">
        <v>424185.3</v>
      </c>
      <c r="AK136" s="45">
        <v>424185.3</v>
      </c>
      <c r="AL136" s="45">
        <v>424162.1</v>
      </c>
      <c r="AM136" s="45">
        <v>424162.1</v>
      </c>
      <c r="AN136" s="45">
        <v>424162.1</v>
      </c>
      <c r="AO136" s="45">
        <v>424162.1</v>
      </c>
      <c r="AP136" s="45">
        <v>452181.7</v>
      </c>
      <c r="AQ136" s="45">
        <v>452181.7</v>
      </c>
      <c r="AR136" s="45">
        <v>452181.7</v>
      </c>
      <c r="AS136" s="45">
        <v>452181.7</v>
      </c>
    </row>
    <row r="137" spans="1:45" x14ac:dyDescent="0.2">
      <c r="A137" s="4" t="s">
        <v>201</v>
      </c>
      <c r="B137" s="45">
        <v>397388</v>
      </c>
      <c r="C137" s="45">
        <v>397342.56</v>
      </c>
      <c r="D137" s="45">
        <v>397342.56</v>
      </c>
      <c r="E137" s="45">
        <v>397342.56</v>
      </c>
      <c r="F137" s="45">
        <v>397342.56</v>
      </c>
      <c r="G137" s="45">
        <v>397192.24200000003</v>
      </c>
      <c r="H137" s="45">
        <v>397192.24200000003</v>
      </c>
      <c r="I137" s="45">
        <v>397192.24200000003</v>
      </c>
      <c r="J137" s="45">
        <v>397192.24200000003</v>
      </c>
      <c r="K137" s="45">
        <v>397192.24200000003</v>
      </c>
      <c r="L137" s="45">
        <v>397192.24200000003</v>
      </c>
      <c r="M137" s="45">
        <v>397192.2</v>
      </c>
      <c r="N137" s="45">
        <v>396651.9</v>
      </c>
      <c r="O137" s="45">
        <v>396651.9</v>
      </c>
      <c r="P137" s="45">
        <v>396651.9</v>
      </c>
      <c r="Q137" s="45">
        <v>396651.9</v>
      </c>
      <c r="R137" s="45">
        <v>396784</v>
      </c>
      <c r="S137" s="45">
        <v>396784</v>
      </c>
      <c r="T137" s="45">
        <v>396784</v>
      </c>
      <c r="U137" s="45">
        <v>396784</v>
      </c>
      <c r="V137" s="45">
        <v>423806</v>
      </c>
      <c r="W137" s="45">
        <v>423806</v>
      </c>
      <c r="X137" s="45">
        <v>423806</v>
      </c>
      <c r="Y137" s="45">
        <v>423806</v>
      </c>
      <c r="Z137" s="45">
        <v>423927</v>
      </c>
      <c r="AA137" s="45">
        <v>423927</v>
      </c>
      <c r="AB137" s="45">
        <v>423927</v>
      </c>
      <c r="AC137" s="45">
        <v>423927</v>
      </c>
      <c r="AD137" s="45">
        <v>423739.8</v>
      </c>
      <c r="AE137" s="45">
        <v>423739.8</v>
      </c>
      <c r="AF137" s="45">
        <v>423739.8</v>
      </c>
      <c r="AG137" s="45">
        <v>423739.8</v>
      </c>
      <c r="AH137" s="45">
        <v>423830.6</v>
      </c>
      <c r="AI137" s="45">
        <v>423830.6</v>
      </c>
      <c r="AJ137" s="45">
        <v>423830.6</v>
      </c>
      <c r="AK137" s="45">
        <v>423830.6</v>
      </c>
      <c r="AL137" s="45">
        <v>423873.6</v>
      </c>
      <c r="AM137" s="45">
        <v>423873.6</v>
      </c>
      <c r="AN137" s="45">
        <v>423873.6</v>
      </c>
      <c r="AO137" s="45">
        <v>423873.6</v>
      </c>
      <c r="AP137" s="45">
        <v>451074.5</v>
      </c>
      <c r="AQ137" s="45">
        <v>451074.5</v>
      </c>
      <c r="AR137" s="45">
        <v>451074.5</v>
      </c>
      <c r="AS137" s="45">
        <v>451074.5</v>
      </c>
    </row>
    <row r="138" spans="1:45" x14ac:dyDescent="0.2">
      <c r="A138" s="4" t="s">
        <v>202</v>
      </c>
      <c r="B138" s="45">
        <v>399615</v>
      </c>
      <c r="C138" s="45">
        <v>399477.03600000002</v>
      </c>
      <c r="D138" s="45">
        <v>399477.03600000002</v>
      </c>
      <c r="E138" s="45">
        <v>399477.03600000002</v>
      </c>
      <c r="F138" s="45">
        <v>399477.03600000002</v>
      </c>
      <c r="G138" s="45">
        <v>399325.65700000001</v>
      </c>
      <c r="H138" s="45">
        <v>399325.65700000001</v>
      </c>
      <c r="I138" s="45">
        <v>399325.65700000001</v>
      </c>
      <c r="J138" s="45">
        <v>399325.65700000001</v>
      </c>
      <c r="K138" s="45">
        <v>399325.65700000001</v>
      </c>
      <c r="L138" s="45">
        <v>399325.65700000001</v>
      </c>
      <c r="M138" s="45">
        <v>399325.7</v>
      </c>
      <c r="N138" s="45">
        <v>399827.20000000001</v>
      </c>
      <c r="O138" s="45">
        <v>399827.20000000001</v>
      </c>
      <c r="P138" s="45">
        <v>399827.20000000001</v>
      </c>
      <c r="Q138" s="45">
        <v>399827.20000000001</v>
      </c>
      <c r="R138" s="45">
        <v>399809.9</v>
      </c>
      <c r="S138" s="45">
        <v>399809.9</v>
      </c>
      <c r="T138" s="45">
        <v>399809.9</v>
      </c>
      <c r="U138" s="45">
        <v>399809.9</v>
      </c>
      <c r="V138" s="45">
        <v>427691.7</v>
      </c>
      <c r="W138" s="45">
        <v>427691.7</v>
      </c>
      <c r="X138" s="45">
        <v>427691.7</v>
      </c>
      <c r="Y138" s="45">
        <v>427691.7</v>
      </c>
      <c r="Z138" s="45">
        <v>427586.2</v>
      </c>
      <c r="AA138" s="45">
        <v>427586.2</v>
      </c>
      <c r="AB138" s="45">
        <v>427586.2</v>
      </c>
      <c r="AC138" s="45">
        <v>427586.2</v>
      </c>
      <c r="AD138" s="45">
        <v>427703.6</v>
      </c>
      <c r="AE138" s="45">
        <v>427703.6</v>
      </c>
      <c r="AF138" s="45">
        <v>427703.6</v>
      </c>
      <c r="AG138" s="45">
        <v>427703.6</v>
      </c>
      <c r="AH138" s="45">
        <v>427563.3</v>
      </c>
      <c r="AI138" s="45">
        <v>427563.3</v>
      </c>
      <c r="AJ138" s="45">
        <v>427563.3</v>
      </c>
      <c r="AK138" s="45">
        <v>427563.3</v>
      </c>
      <c r="AL138" s="45">
        <v>427812.2</v>
      </c>
      <c r="AM138" s="45">
        <v>427812.2</v>
      </c>
      <c r="AN138" s="45">
        <v>427812.2</v>
      </c>
      <c r="AO138" s="45">
        <v>427812.2</v>
      </c>
      <c r="AP138" s="45">
        <v>455313.7</v>
      </c>
      <c r="AQ138" s="45">
        <v>455313.7</v>
      </c>
      <c r="AR138" s="45">
        <v>455313.7</v>
      </c>
      <c r="AS138" s="45">
        <v>455313.7</v>
      </c>
    </row>
    <row r="139" spans="1:45" x14ac:dyDescent="0.2">
      <c r="A139" s="4" t="s">
        <v>203</v>
      </c>
      <c r="B139" s="45">
        <v>401556</v>
      </c>
      <c r="C139" s="45">
        <v>401627.723</v>
      </c>
      <c r="D139" s="45">
        <v>401627.723</v>
      </c>
      <c r="E139" s="45">
        <v>401627.723</v>
      </c>
      <c r="F139" s="45">
        <v>401627.723</v>
      </c>
      <c r="G139" s="45">
        <v>401352.48599999998</v>
      </c>
      <c r="H139" s="45">
        <v>401352.48599999998</v>
      </c>
      <c r="I139" s="45">
        <v>401352.48599999998</v>
      </c>
      <c r="J139" s="45">
        <v>401352.48599999998</v>
      </c>
      <c r="K139" s="45">
        <v>401352.48599999998</v>
      </c>
      <c r="L139" s="45">
        <v>401352.48599999998</v>
      </c>
      <c r="M139" s="45">
        <v>401352.5</v>
      </c>
      <c r="N139" s="45">
        <v>401674.8</v>
      </c>
      <c r="O139" s="45">
        <v>401674.8</v>
      </c>
      <c r="P139" s="45">
        <v>401674.8</v>
      </c>
      <c r="Q139" s="45">
        <v>401674.8</v>
      </c>
      <c r="R139" s="45">
        <v>401660.7</v>
      </c>
      <c r="S139" s="45">
        <v>401660.7</v>
      </c>
      <c r="T139" s="45">
        <v>401660.7</v>
      </c>
      <c r="U139" s="45">
        <v>401660.7</v>
      </c>
      <c r="V139" s="45">
        <v>429132.4</v>
      </c>
      <c r="W139" s="45">
        <v>429132.4</v>
      </c>
      <c r="X139" s="45">
        <v>429132.4</v>
      </c>
      <c r="Y139" s="45">
        <v>429132.4</v>
      </c>
      <c r="Z139" s="45">
        <v>429130.1</v>
      </c>
      <c r="AA139" s="45">
        <v>429130.1</v>
      </c>
      <c r="AB139" s="45">
        <v>429130.1</v>
      </c>
      <c r="AC139" s="45">
        <v>429130.1</v>
      </c>
      <c r="AD139" s="45">
        <v>428614.3</v>
      </c>
      <c r="AE139" s="45">
        <v>428614.3</v>
      </c>
      <c r="AF139" s="45">
        <v>428614.3</v>
      </c>
      <c r="AG139" s="45">
        <v>428614.3</v>
      </c>
      <c r="AH139" s="45">
        <v>428689.7</v>
      </c>
      <c r="AI139" s="45">
        <v>428689.7</v>
      </c>
      <c r="AJ139" s="45">
        <v>428689.7</v>
      </c>
      <c r="AK139" s="45">
        <v>428689.7</v>
      </c>
      <c r="AL139" s="45">
        <v>428822.5</v>
      </c>
      <c r="AM139" s="45">
        <v>428822.5</v>
      </c>
      <c r="AN139" s="45">
        <v>428822.5</v>
      </c>
      <c r="AO139" s="45">
        <v>428822.5</v>
      </c>
      <c r="AP139" s="45">
        <v>457215.4</v>
      </c>
      <c r="AQ139" s="45">
        <v>457215.4</v>
      </c>
      <c r="AR139" s="45">
        <v>457215.4</v>
      </c>
      <c r="AS139" s="45">
        <v>457215.4</v>
      </c>
    </row>
    <row r="140" spans="1:45" x14ac:dyDescent="0.2">
      <c r="A140" s="4" t="s">
        <v>204</v>
      </c>
      <c r="B140" s="45">
        <v>402754</v>
      </c>
      <c r="C140" s="45">
        <v>402898.76</v>
      </c>
      <c r="D140" s="45">
        <v>402898.76</v>
      </c>
      <c r="E140" s="45">
        <v>402898.76</v>
      </c>
      <c r="F140" s="45">
        <v>402898.76</v>
      </c>
      <c r="G140" s="45">
        <v>402710.58199999999</v>
      </c>
      <c r="H140" s="45">
        <v>402710.58199999999</v>
      </c>
      <c r="I140" s="45">
        <v>402710.58199999999</v>
      </c>
      <c r="J140" s="45">
        <v>402710.58199999999</v>
      </c>
      <c r="K140" s="45">
        <v>402710.58199999999</v>
      </c>
      <c r="L140" s="45">
        <v>402710.58199999999</v>
      </c>
      <c r="M140" s="45">
        <v>402710.6</v>
      </c>
      <c r="N140" s="45">
        <v>402981</v>
      </c>
      <c r="O140" s="45">
        <v>402981</v>
      </c>
      <c r="P140" s="45">
        <v>402981</v>
      </c>
      <c r="Q140" s="45">
        <v>402981</v>
      </c>
      <c r="R140" s="45">
        <v>402999.4</v>
      </c>
      <c r="S140" s="45">
        <v>402999.4</v>
      </c>
      <c r="T140" s="45">
        <v>402999.4</v>
      </c>
      <c r="U140" s="45">
        <v>402999.4</v>
      </c>
      <c r="V140" s="45">
        <v>430360.3</v>
      </c>
      <c r="W140" s="45">
        <v>430360.3</v>
      </c>
      <c r="X140" s="45">
        <v>430360.3</v>
      </c>
      <c r="Y140" s="45">
        <v>430360.3</v>
      </c>
      <c r="Z140" s="45">
        <v>430361.3</v>
      </c>
      <c r="AA140" s="45">
        <v>430361.3</v>
      </c>
      <c r="AB140" s="45">
        <v>430361.3</v>
      </c>
      <c r="AC140" s="45">
        <v>430361.3</v>
      </c>
      <c r="AD140" s="45">
        <v>430432.7</v>
      </c>
      <c r="AE140" s="45">
        <v>430432.7</v>
      </c>
      <c r="AF140" s="45">
        <v>430432.7</v>
      </c>
      <c r="AG140" s="45">
        <v>430432.7</v>
      </c>
      <c r="AH140" s="45">
        <v>430389.4</v>
      </c>
      <c r="AI140" s="45">
        <v>430389.4</v>
      </c>
      <c r="AJ140" s="45">
        <v>430389.4</v>
      </c>
      <c r="AK140" s="45">
        <v>430389.4</v>
      </c>
      <c r="AL140" s="45">
        <v>430239.5</v>
      </c>
      <c r="AM140" s="45">
        <v>430239.5</v>
      </c>
      <c r="AN140" s="45">
        <v>430239.5</v>
      </c>
      <c r="AO140" s="45">
        <v>430239.5</v>
      </c>
      <c r="AP140" s="45">
        <v>458387.4</v>
      </c>
      <c r="AQ140" s="45">
        <v>458387.4</v>
      </c>
      <c r="AR140" s="45">
        <v>458387.4</v>
      </c>
      <c r="AS140" s="45">
        <v>458387.4</v>
      </c>
    </row>
    <row r="141" spans="1:45" x14ac:dyDescent="0.2">
      <c r="A141" s="4" t="s">
        <v>205</v>
      </c>
      <c r="B141" s="45">
        <v>403925</v>
      </c>
      <c r="C141" s="45">
        <v>403962.72</v>
      </c>
      <c r="D141" s="45">
        <v>403962.72</v>
      </c>
      <c r="E141" s="45">
        <v>403962.72</v>
      </c>
      <c r="F141" s="45">
        <v>403962.72</v>
      </c>
      <c r="G141" s="45">
        <v>403901.93599999999</v>
      </c>
      <c r="H141" s="45">
        <v>403901.93599999999</v>
      </c>
      <c r="I141" s="45">
        <v>403901.93599999999</v>
      </c>
      <c r="J141" s="45">
        <v>403901.93599999999</v>
      </c>
      <c r="K141" s="45">
        <v>403901.93599999999</v>
      </c>
      <c r="L141" s="45">
        <v>403901.93599999999</v>
      </c>
      <c r="M141" s="45">
        <v>403901.9</v>
      </c>
      <c r="N141" s="45">
        <v>403365.5</v>
      </c>
      <c r="O141" s="45">
        <v>403365.5</v>
      </c>
      <c r="P141" s="45">
        <v>403365.5</v>
      </c>
      <c r="Q141" s="45">
        <v>403365.5</v>
      </c>
      <c r="R141" s="45">
        <v>403484.1</v>
      </c>
      <c r="S141" s="45">
        <v>403484.1</v>
      </c>
      <c r="T141" s="45">
        <v>403484.1</v>
      </c>
      <c r="U141" s="45">
        <v>403484.1</v>
      </c>
      <c r="V141" s="45">
        <v>430332.6</v>
      </c>
      <c r="W141" s="45">
        <v>430332.6</v>
      </c>
      <c r="X141" s="45">
        <v>430332.6</v>
      </c>
      <c r="Y141" s="45">
        <v>430332.6</v>
      </c>
      <c r="Z141" s="45">
        <v>430283.7</v>
      </c>
      <c r="AA141" s="45">
        <v>430283.7</v>
      </c>
      <c r="AB141" s="45">
        <v>430283.7</v>
      </c>
      <c r="AC141" s="45">
        <v>430283.7</v>
      </c>
      <c r="AD141" s="45">
        <v>430385.6</v>
      </c>
      <c r="AE141" s="45">
        <v>430385.6</v>
      </c>
      <c r="AF141" s="45">
        <v>430385.6</v>
      </c>
      <c r="AG141" s="45">
        <v>430385.6</v>
      </c>
      <c r="AH141" s="45">
        <v>430159.4</v>
      </c>
      <c r="AI141" s="45">
        <v>430159.4</v>
      </c>
      <c r="AJ141" s="45">
        <v>430159.4</v>
      </c>
      <c r="AK141" s="45">
        <v>430159.4</v>
      </c>
      <c r="AL141" s="45">
        <v>430022.1</v>
      </c>
      <c r="AM141" s="45">
        <v>430022.1</v>
      </c>
      <c r="AN141" s="45">
        <v>430022.1</v>
      </c>
      <c r="AO141" s="45">
        <v>430022.1</v>
      </c>
      <c r="AP141" s="45">
        <v>458712.3</v>
      </c>
      <c r="AQ141" s="45">
        <v>458712.3</v>
      </c>
      <c r="AR141" s="45">
        <v>458712.3</v>
      </c>
      <c r="AS141" s="45">
        <v>458712.3</v>
      </c>
    </row>
    <row r="142" spans="1:45" x14ac:dyDescent="0.2">
      <c r="A142" s="4" t="s">
        <v>206</v>
      </c>
      <c r="B142" s="45">
        <v>404255</v>
      </c>
      <c r="C142" s="45">
        <v>404556.75699999998</v>
      </c>
      <c r="D142" s="45">
        <v>404556.75699999998</v>
      </c>
      <c r="E142" s="45">
        <v>404556.75699999998</v>
      </c>
      <c r="F142" s="45">
        <v>404556.75699999998</v>
      </c>
      <c r="G142" s="45">
        <v>403938.951</v>
      </c>
      <c r="H142" s="45">
        <v>403938.951</v>
      </c>
      <c r="I142" s="45">
        <v>403938.951</v>
      </c>
      <c r="J142" s="45">
        <v>403938.951</v>
      </c>
      <c r="K142" s="45">
        <v>403938.951</v>
      </c>
      <c r="L142" s="45">
        <v>403938.951</v>
      </c>
      <c r="M142" s="45">
        <v>403939</v>
      </c>
      <c r="N142" s="45">
        <v>404025.1</v>
      </c>
      <c r="O142" s="45">
        <v>404025.1</v>
      </c>
      <c r="P142" s="45">
        <v>404025.1</v>
      </c>
      <c r="Q142" s="45">
        <v>404025.1</v>
      </c>
      <c r="R142" s="45">
        <v>404011.1</v>
      </c>
      <c r="S142" s="45">
        <v>404011.1</v>
      </c>
      <c r="T142" s="45">
        <v>404011.1</v>
      </c>
      <c r="U142" s="45">
        <v>404011.1</v>
      </c>
      <c r="V142" s="45">
        <v>431130.2</v>
      </c>
      <c r="W142" s="45">
        <v>431130.2</v>
      </c>
      <c r="X142" s="45">
        <v>431130.2</v>
      </c>
      <c r="Y142" s="45">
        <v>431130.2</v>
      </c>
      <c r="Z142" s="45">
        <v>431213.6</v>
      </c>
      <c r="AA142" s="45">
        <v>431213.6</v>
      </c>
      <c r="AB142" s="45">
        <v>431213.6</v>
      </c>
      <c r="AC142" s="45">
        <v>431213.6</v>
      </c>
      <c r="AD142" s="45">
        <v>431505.7</v>
      </c>
      <c r="AE142" s="45">
        <v>431505.7</v>
      </c>
      <c r="AF142" s="45">
        <v>431505.7</v>
      </c>
      <c r="AG142" s="45">
        <v>431505.7</v>
      </c>
      <c r="AH142" s="45">
        <v>431536.5</v>
      </c>
      <c r="AI142" s="45">
        <v>431536.5</v>
      </c>
      <c r="AJ142" s="45">
        <v>431536.5</v>
      </c>
      <c r="AK142" s="45">
        <v>431536.5</v>
      </c>
      <c r="AL142" s="45">
        <v>431433.3</v>
      </c>
      <c r="AM142" s="45">
        <v>431433.3</v>
      </c>
      <c r="AN142" s="45">
        <v>431433.3</v>
      </c>
      <c r="AO142" s="45">
        <v>431433.3</v>
      </c>
      <c r="AP142" s="45">
        <v>459890.7</v>
      </c>
      <c r="AQ142" s="45">
        <v>459890.7</v>
      </c>
      <c r="AR142" s="45">
        <v>459890.7</v>
      </c>
      <c r="AS142" s="45">
        <v>459890.7</v>
      </c>
    </row>
    <row r="143" spans="1:45" x14ac:dyDescent="0.2">
      <c r="A143" s="4" t="s">
        <v>207</v>
      </c>
      <c r="B143" s="45">
        <v>403748</v>
      </c>
      <c r="C143" s="45">
        <v>403939.42599999998</v>
      </c>
      <c r="D143" s="45">
        <v>403939.42599999998</v>
      </c>
      <c r="E143" s="45">
        <v>403939.42599999998</v>
      </c>
      <c r="F143" s="45">
        <v>403939.42599999998</v>
      </c>
      <c r="G143" s="45">
        <v>403591.63099999999</v>
      </c>
      <c r="H143" s="45">
        <v>403591.63099999999</v>
      </c>
      <c r="I143" s="45">
        <v>403591.63099999999</v>
      </c>
      <c r="J143" s="45">
        <v>403591.63099999999</v>
      </c>
      <c r="K143" s="45">
        <v>403591.63099999999</v>
      </c>
      <c r="L143" s="45">
        <v>403591.63099999999</v>
      </c>
      <c r="M143" s="45">
        <v>403591.6</v>
      </c>
      <c r="N143" s="45">
        <v>403018.3</v>
      </c>
      <c r="O143" s="45">
        <v>403018.3</v>
      </c>
      <c r="P143" s="45">
        <v>403018.3</v>
      </c>
      <c r="Q143" s="45">
        <v>403018.3</v>
      </c>
      <c r="R143" s="45">
        <v>403041.6</v>
      </c>
      <c r="S143" s="45">
        <v>403041.6</v>
      </c>
      <c r="T143" s="45">
        <v>403041.6</v>
      </c>
      <c r="U143" s="45">
        <v>403041.6</v>
      </c>
      <c r="V143" s="45">
        <v>430710.8</v>
      </c>
      <c r="W143" s="45">
        <v>430710.8</v>
      </c>
      <c r="X143" s="45">
        <v>430710.8</v>
      </c>
      <c r="Y143" s="45">
        <v>430710.8</v>
      </c>
      <c r="Z143" s="45">
        <v>430762.4</v>
      </c>
      <c r="AA143" s="45">
        <v>430762.4</v>
      </c>
      <c r="AB143" s="45">
        <v>430762.4</v>
      </c>
      <c r="AC143" s="45">
        <v>430762.4</v>
      </c>
      <c r="AD143" s="45">
        <v>430630.3</v>
      </c>
      <c r="AE143" s="45">
        <v>430630.3</v>
      </c>
      <c r="AF143" s="45">
        <v>430630.3</v>
      </c>
      <c r="AG143" s="45">
        <v>430630.3</v>
      </c>
      <c r="AH143" s="45">
        <v>430425.9</v>
      </c>
      <c r="AI143" s="45">
        <v>430425.9</v>
      </c>
      <c r="AJ143" s="45">
        <v>430425.9</v>
      </c>
      <c r="AK143" s="45">
        <v>430425.9</v>
      </c>
      <c r="AL143" s="45">
        <v>430281.8</v>
      </c>
      <c r="AM143" s="45">
        <v>430281.8</v>
      </c>
      <c r="AN143" s="45">
        <v>430281.8</v>
      </c>
      <c r="AO143" s="45">
        <v>430281.8</v>
      </c>
      <c r="AP143" s="45">
        <v>459056.8</v>
      </c>
      <c r="AQ143" s="45">
        <v>459056.8</v>
      </c>
      <c r="AR143" s="45">
        <v>459056.8</v>
      </c>
      <c r="AS143" s="45">
        <v>459056.8</v>
      </c>
    </row>
    <row r="144" spans="1:45" x14ac:dyDescent="0.2">
      <c r="A144" s="4" t="s">
        <v>208</v>
      </c>
      <c r="B144" s="45">
        <v>407267</v>
      </c>
      <c r="C144" s="45">
        <v>407057.15899999999</v>
      </c>
      <c r="D144" s="45">
        <v>407057.15899999999</v>
      </c>
      <c r="E144" s="45">
        <v>407057.15899999999</v>
      </c>
      <c r="F144" s="45">
        <v>407057.15899999999</v>
      </c>
      <c r="G144" s="45">
        <v>406868.27799999999</v>
      </c>
      <c r="H144" s="45">
        <v>406868.27799999999</v>
      </c>
      <c r="I144" s="45">
        <v>406868.27799999999</v>
      </c>
      <c r="J144" s="45">
        <v>406868.27799999999</v>
      </c>
      <c r="K144" s="45">
        <v>406868.27799999999</v>
      </c>
      <c r="L144" s="45">
        <v>406868.27799999999</v>
      </c>
      <c r="M144" s="45">
        <v>406868.3</v>
      </c>
      <c r="N144" s="45">
        <v>406933</v>
      </c>
      <c r="O144" s="45">
        <v>406933</v>
      </c>
      <c r="P144" s="45">
        <v>406933</v>
      </c>
      <c r="Q144" s="45">
        <v>406933</v>
      </c>
      <c r="R144" s="45">
        <v>407013.1</v>
      </c>
      <c r="S144" s="45">
        <v>407013.1</v>
      </c>
      <c r="T144" s="45">
        <v>407013.1</v>
      </c>
      <c r="U144" s="45">
        <v>407013.1</v>
      </c>
      <c r="V144" s="45">
        <v>433766.8</v>
      </c>
      <c r="W144" s="45">
        <v>433766.8</v>
      </c>
      <c r="X144" s="45">
        <v>433766.8</v>
      </c>
      <c r="Y144" s="45">
        <v>433766.8</v>
      </c>
      <c r="Z144" s="45">
        <v>433620.5</v>
      </c>
      <c r="AA144" s="45">
        <v>433620.5</v>
      </c>
      <c r="AB144" s="45">
        <v>433620.5</v>
      </c>
      <c r="AC144" s="45">
        <v>433620.5</v>
      </c>
      <c r="AD144" s="45">
        <v>433836.9</v>
      </c>
      <c r="AE144" s="45">
        <v>433836.9</v>
      </c>
      <c r="AF144" s="45">
        <v>433836.9</v>
      </c>
      <c r="AG144" s="45">
        <v>433836.9</v>
      </c>
      <c r="AH144" s="45">
        <v>433910.8</v>
      </c>
      <c r="AI144" s="45">
        <v>433910.8</v>
      </c>
      <c r="AJ144" s="45">
        <v>433910.8</v>
      </c>
      <c r="AK144" s="45">
        <v>433910.8</v>
      </c>
      <c r="AL144" s="45">
        <v>433909.4</v>
      </c>
      <c r="AM144" s="45">
        <v>433909.4</v>
      </c>
      <c r="AN144" s="45">
        <v>433909.4</v>
      </c>
      <c r="AO144" s="45">
        <v>433909.4</v>
      </c>
      <c r="AP144" s="45">
        <v>463015.9</v>
      </c>
      <c r="AQ144" s="45">
        <v>463015.9</v>
      </c>
      <c r="AR144" s="45">
        <v>463015.9</v>
      </c>
      <c r="AS144" s="45">
        <v>463015.9</v>
      </c>
    </row>
    <row r="145" spans="1:45" x14ac:dyDescent="0.2">
      <c r="A145" s="4" t="s">
        <v>209</v>
      </c>
      <c r="B145" s="45">
        <v>409703</v>
      </c>
      <c r="C145" s="45">
        <v>409770.71600000001</v>
      </c>
      <c r="D145" s="45">
        <v>409770.71600000001</v>
      </c>
      <c r="E145" s="45">
        <v>409770.71600000001</v>
      </c>
      <c r="F145" s="45">
        <v>409770.71600000001</v>
      </c>
      <c r="G145" s="45">
        <v>409586.17700000003</v>
      </c>
      <c r="H145" s="45">
        <v>409586.17700000003</v>
      </c>
      <c r="I145" s="45">
        <v>409586.17700000003</v>
      </c>
      <c r="J145" s="45">
        <v>409586.17700000003</v>
      </c>
      <c r="K145" s="45">
        <v>409586.17700000003</v>
      </c>
      <c r="L145" s="45">
        <v>409586.17700000003</v>
      </c>
      <c r="M145" s="45">
        <v>409586.2</v>
      </c>
      <c r="N145" s="45">
        <v>409647.7</v>
      </c>
      <c r="O145" s="45">
        <v>409647.7</v>
      </c>
      <c r="P145" s="45">
        <v>409647.7</v>
      </c>
      <c r="Q145" s="45">
        <v>409647.7</v>
      </c>
      <c r="R145" s="45">
        <v>409703</v>
      </c>
      <c r="S145" s="45">
        <v>409703</v>
      </c>
      <c r="T145" s="45">
        <v>409703</v>
      </c>
      <c r="U145" s="45">
        <v>409703</v>
      </c>
      <c r="V145" s="45">
        <v>436581.2</v>
      </c>
      <c r="W145" s="45">
        <v>436581.2</v>
      </c>
      <c r="X145" s="45">
        <v>436581.2</v>
      </c>
      <c r="Y145" s="45">
        <v>436581.2</v>
      </c>
      <c r="Z145" s="45">
        <v>436700.9</v>
      </c>
      <c r="AA145" s="45">
        <v>436700.9</v>
      </c>
      <c r="AB145" s="45">
        <v>436700.9</v>
      </c>
      <c r="AC145" s="45">
        <v>436700.9</v>
      </c>
      <c r="AD145" s="45">
        <v>436546.6</v>
      </c>
      <c r="AE145" s="45">
        <v>436546.6</v>
      </c>
      <c r="AF145" s="45">
        <v>436546.6</v>
      </c>
      <c r="AG145" s="45">
        <v>436546.6</v>
      </c>
      <c r="AH145" s="45">
        <v>436666.1</v>
      </c>
      <c r="AI145" s="45">
        <v>436666.1</v>
      </c>
      <c r="AJ145" s="45">
        <v>436666.1</v>
      </c>
      <c r="AK145" s="45">
        <v>436666.1</v>
      </c>
      <c r="AL145" s="45">
        <v>437001.6</v>
      </c>
      <c r="AM145" s="45">
        <v>437001.6</v>
      </c>
      <c r="AN145" s="45">
        <v>437001.6</v>
      </c>
      <c r="AO145" s="45">
        <v>437001.6</v>
      </c>
      <c r="AP145" s="45">
        <v>465476.3</v>
      </c>
      <c r="AQ145" s="45">
        <v>465476.3</v>
      </c>
      <c r="AR145" s="45">
        <v>465476.3</v>
      </c>
      <c r="AS145" s="45">
        <v>465476.3</v>
      </c>
    </row>
    <row r="146" spans="1:45" x14ac:dyDescent="0.2">
      <c r="A146" s="4" t="s">
        <v>210</v>
      </c>
      <c r="B146" s="45">
        <v>410493</v>
      </c>
      <c r="C146" s="45">
        <v>410426.87099999998</v>
      </c>
      <c r="D146" s="45">
        <v>410426.87099999998</v>
      </c>
      <c r="E146" s="45">
        <v>410426.87099999998</v>
      </c>
      <c r="F146" s="45">
        <v>410426.87099999998</v>
      </c>
      <c r="G146" s="45">
        <v>410435.11700000003</v>
      </c>
      <c r="H146" s="45">
        <v>410435.11700000003</v>
      </c>
      <c r="I146" s="45">
        <v>410435.11700000003</v>
      </c>
      <c r="J146" s="45">
        <v>410435.11700000003</v>
      </c>
      <c r="K146" s="45">
        <v>410435.11700000003</v>
      </c>
      <c r="L146" s="45">
        <v>410435.11700000003</v>
      </c>
      <c r="M146" s="45">
        <v>410435.1</v>
      </c>
      <c r="N146" s="45">
        <v>410799</v>
      </c>
      <c r="O146" s="45">
        <v>410799</v>
      </c>
      <c r="P146" s="45">
        <v>410799</v>
      </c>
      <c r="Q146" s="45">
        <v>410799</v>
      </c>
      <c r="R146" s="45">
        <v>410701.1</v>
      </c>
      <c r="S146" s="45">
        <v>410701.1</v>
      </c>
      <c r="T146" s="45">
        <v>410701.1</v>
      </c>
      <c r="U146" s="45">
        <v>410701.1</v>
      </c>
      <c r="V146" s="45">
        <v>437121.2</v>
      </c>
      <c r="W146" s="45">
        <v>437121.2</v>
      </c>
      <c r="X146" s="45">
        <v>437121.2</v>
      </c>
      <c r="Y146" s="45">
        <v>437121.2</v>
      </c>
      <c r="Z146" s="45">
        <v>437072.5</v>
      </c>
      <c r="AA146" s="45">
        <v>437072.5</v>
      </c>
      <c r="AB146" s="45">
        <v>437072.5</v>
      </c>
      <c r="AC146" s="45">
        <v>437072.5</v>
      </c>
      <c r="AD146" s="45">
        <v>437205.2</v>
      </c>
      <c r="AE146" s="45">
        <v>437205.2</v>
      </c>
      <c r="AF146" s="45">
        <v>437205.2</v>
      </c>
      <c r="AG146" s="45">
        <v>437205.2</v>
      </c>
      <c r="AH146" s="45">
        <v>437336.5</v>
      </c>
      <c r="AI146" s="45">
        <v>437336.5</v>
      </c>
      <c r="AJ146" s="45">
        <v>437336.5</v>
      </c>
      <c r="AK146" s="45">
        <v>437336.5</v>
      </c>
      <c r="AL146" s="45">
        <v>437171.1</v>
      </c>
      <c r="AM146" s="45">
        <v>437171.1</v>
      </c>
      <c r="AN146" s="45">
        <v>437171.1</v>
      </c>
      <c r="AO146" s="45">
        <v>437171.1</v>
      </c>
      <c r="AP146" s="45">
        <v>467646.7</v>
      </c>
      <c r="AQ146" s="45">
        <v>467646.7</v>
      </c>
      <c r="AR146" s="45">
        <v>467646.7</v>
      </c>
      <c r="AS146" s="45">
        <v>467646.7</v>
      </c>
    </row>
    <row r="147" spans="1:45" x14ac:dyDescent="0.2">
      <c r="A147" s="4" t="s">
        <v>211</v>
      </c>
      <c r="B147" s="45">
        <v>412763</v>
      </c>
      <c r="C147" s="45">
        <v>412758.41499999998</v>
      </c>
      <c r="D147" s="45">
        <v>412758.41499999998</v>
      </c>
      <c r="E147" s="45">
        <v>412758.41499999998</v>
      </c>
      <c r="F147" s="45">
        <v>412758.41499999998</v>
      </c>
      <c r="G147" s="45">
        <v>412437.93599999999</v>
      </c>
      <c r="H147" s="45">
        <v>412437.93599999999</v>
      </c>
      <c r="I147" s="45">
        <v>412437.93599999999</v>
      </c>
      <c r="J147" s="45">
        <v>412437.93599999999</v>
      </c>
      <c r="K147" s="45">
        <v>412437.93599999999</v>
      </c>
      <c r="L147" s="45">
        <v>412437.93599999999</v>
      </c>
      <c r="M147" s="45">
        <v>412437.9</v>
      </c>
      <c r="N147" s="45">
        <v>412265.2</v>
      </c>
      <c r="O147" s="45">
        <v>412265.2</v>
      </c>
      <c r="P147" s="45">
        <v>412265.2</v>
      </c>
      <c r="Q147" s="45">
        <v>412265.2</v>
      </c>
      <c r="R147" s="45">
        <v>412287.6</v>
      </c>
      <c r="S147" s="45">
        <v>412287.6</v>
      </c>
      <c r="T147" s="45">
        <v>412287.6</v>
      </c>
      <c r="U147" s="45">
        <v>412287.6</v>
      </c>
      <c r="V147" s="45">
        <v>438389.9</v>
      </c>
      <c r="W147" s="45">
        <v>438389.9</v>
      </c>
      <c r="X147" s="45">
        <v>438389.9</v>
      </c>
      <c r="Y147" s="45">
        <v>438389.9</v>
      </c>
      <c r="Z147" s="45">
        <v>438319.2</v>
      </c>
      <c r="AA147" s="45">
        <v>438319.2</v>
      </c>
      <c r="AB147" s="45">
        <v>438319.2</v>
      </c>
      <c r="AC147" s="45">
        <v>438319.2</v>
      </c>
      <c r="AD147" s="45">
        <v>438164</v>
      </c>
      <c r="AE147" s="45">
        <v>438164</v>
      </c>
      <c r="AF147" s="45">
        <v>438164</v>
      </c>
      <c r="AG147" s="45">
        <v>438164</v>
      </c>
      <c r="AH147" s="45">
        <v>437990.8</v>
      </c>
      <c r="AI147" s="45">
        <v>437990.8</v>
      </c>
      <c r="AJ147" s="45">
        <v>437990.8</v>
      </c>
      <c r="AK147" s="45">
        <v>437990.8</v>
      </c>
      <c r="AL147" s="45">
        <v>437855</v>
      </c>
      <c r="AM147" s="45">
        <v>437855</v>
      </c>
      <c r="AN147" s="45">
        <v>437855</v>
      </c>
      <c r="AO147" s="45">
        <v>437855</v>
      </c>
      <c r="AP147" s="45">
        <v>468869.6</v>
      </c>
      <c r="AQ147" s="45">
        <v>468869.6</v>
      </c>
      <c r="AR147" s="45">
        <v>468869.6</v>
      </c>
      <c r="AS147" s="45">
        <v>468869.6</v>
      </c>
    </row>
    <row r="148" spans="1:45" x14ac:dyDescent="0.2">
      <c r="A148" s="4" t="s">
        <v>212</v>
      </c>
      <c r="B148" s="45">
        <v>414860</v>
      </c>
      <c r="C148" s="45">
        <v>415011.185</v>
      </c>
      <c r="D148" s="45">
        <v>415011.185</v>
      </c>
      <c r="E148" s="45">
        <v>415011.185</v>
      </c>
      <c r="F148" s="45">
        <v>415011.185</v>
      </c>
      <c r="G148" s="45">
        <v>414814.82</v>
      </c>
      <c r="H148" s="45">
        <v>414814.82</v>
      </c>
      <c r="I148" s="45">
        <v>414814.82</v>
      </c>
      <c r="J148" s="45">
        <v>414814.82</v>
      </c>
      <c r="K148" s="45">
        <v>414814.82</v>
      </c>
      <c r="L148" s="45">
        <v>414814.82</v>
      </c>
      <c r="M148" s="45">
        <v>414814.8</v>
      </c>
      <c r="N148" s="45">
        <v>414694</v>
      </c>
      <c r="O148" s="45">
        <v>414694</v>
      </c>
      <c r="P148" s="45">
        <v>414694</v>
      </c>
      <c r="Q148" s="45">
        <v>414694</v>
      </c>
      <c r="R148" s="45">
        <v>414754.9</v>
      </c>
      <c r="S148" s="45">
        <v>414754.9</v>
      </c>
      <c r="T148" s="45">
        <v>414754.9</v>
      </c>
      <c r="U148" s="45">
        <v>414754.9</v>
      </c>
      <c r="V148" s="45">
        <v>441209.3</v>
      </c>
      <c r="W148" s="45">
        <v>441209.3</v>
      </c>
      <c r="X148" s="45">
        <v>441209.3</v>
      </c>
      <c r="Y148" s="45">
        <v>441209.3</v>
      </c>
      <c r="Z148" s="45">
        <v>441248.1</v>
      </c>
      <c r="AA148" s="45">
        <v>441248.1</v>
      </c>
      <c r="AB148" s="45">
        <v>441248.1</v>
      </c>
      <c r="AC148" s="45">
        <v>441248.1</v>
      </c>
      <c r="AD148" s="45">
        <v>441118</v>
      </c>
      <c r="AE148" s="45">
        <v>441118</v>
      </c>
      <c r="AF148" s="45">
        <v>441118</v>
      </c>
      <c r="AG148" s="45">
        <v>441118</v>
      </c>
      <c r="AH148" s="45">
        <v>441089.9</v>
      </c>
      <c r="AI148" s="45">
        <v>441089.9</v>
      </c>
      <c r="AJ148" s="45">
        <v>441089.9</v>
      </c>
      <c r="AK148" s="45">
        <v>441089.9</v>
      </c>
      <c r="AL148" s="45">
        <v>441118.9</v>
      </c>
      <c r="AM148" s="45">
        <v>441118.9</v>
      </c>
      <c r="AN148" s="45">
        <v>441118.9</v>
      </c>
      <c r="AO148" s="45">
        <v>441118.9</v>
      </c>
      <c r="AP148" s="45">
        <v>470604.3</v>
      </c>
      <c r="AQ148" s="45">
        <v>470604.3</v>
      </c>
      <c r="AR148" s="45">
        <v>470604.3</v>
      </c>
      <c r="AS148" s="45">
        <v>470604.3</v>
      </c>
    </row>
    <row r="149" spans="1:45" x14ac:dyDescent="0.2">
      <c r="A149" s="4" t="s">
        <v>213</v>
      </c>
      <c r="B149" s="45">
        <v>416779</v>
      </c>
      <c r="C149" s="45">
        <v>416518.016</v>
      </c>
      <c r="D149" s="45">
        <v>416518.016</v>
      </c>
      <c r="E149" s="45">
        <v>416518.016</v>
      </c>
      <c r="F149" s="45">
        <v>416518.016</v>
      </c>
      <c r="G149" s="45">
        <v>416418.26500000001</v>
      </c>
      <c r="H149" s="45">
        <v>416418.26500000001</v>
      </c>
      <c r="I149" s="45">
        <v>416418.26500000001</v>
      </c>
      <c r="J149" s="45">
        <v>416418.26500000001</v>
      </c>
      <c r="K149" s="45">
        <v>416418.26500000001</v>
      </c>
      <c r="L149" s="45">
        <v>416418.26500000001</v>
      </c>
      <c r="M149" s="45">
        <v>416418.3</v>
      </c>
      <c r="N149" s="45">
        <v>416166</v>
      </c>
      <c r="O149" s="45">
        <v>416166</v>
      </c>
      <c r="P149" s="45">
        <v>416166</v>
      </c>
      <c r="Q149" s="45">
        <v>416166</v>
      </c>
      <c r="R149" s="45">
        <v>416199.2</v>
      </c>
      <c r="S149" s="45">
        <v>416199.2</v>
      </c>
      <c r="T149" s="45">
        <v>416199.2</v>
      </c>
      <c r="U149" s="45">
        <v>416199.2</v>
      </c>
      <c r="V149" s="45">
        <v>443043.7</v>
      </c>
      <c r="W149" s="45">
        <v>443043.7</v>
      </c>
      <c r="X149" s="45">
        <v>443043.7</v>
      </c>
      <c r="Y149" s="45">
        <v>443043.7</v>
      </c>
      <c r="Z149" s="45">
        <v>443059.8</v>
      </c>
      <c r="AA149" s="45">
        <v>443059.8</v>
      </c>
      <c r="AB149" s="45">
        <v>443059.8</v>
      </c>
      <c r="AC149" s="45">
        <v>443059.8</v>
      </c>
      <c r="AD149" s="45">
        <v>443007.1</v>
      </c>
      <c r="AE149" s="45">
        <v>443007.1</v>
      </c>
      <c r="AF149" s="45">
        <v>443007.1</v>
      </c>
      <c r="AG149" s="45">
        <v>443007.1</v>
      </c>
      <c r="AH149" s="45">
        <v>443204.3</v>
      </c>
      <c r="AI149" s="45">
        <v>443204.3</v>
      </c>
      <c r="AJ149" s="45">
        <v>443204.3</v>
      </c>
      <c r="AK149" s="45">
        <v>443204.3</v>
      </c>
      <c r="AL149" s="45">
        <v>443303.8</v>
      </c>
      <c r="AM149" s="45">
        <v>443303.8</v>
      </c>
      <c r="AN149" s="45">
        <v>443303.8</v>
      </c>
      <c r="AO149" s="45">
        <v>443303.8</v>
      </c>
      <c r="AP149" s="45">
        <v>472085.5</v>
      </c>
      <c r="AQ149" s="45">
        <v>472085.5</v>
      </c>
      <c r="AR149" s="45">
        <v>472085.5</v>
      </c>
      <c r="AS149" s="45">
        <v>472085.5</v>
      </c>
    </row>
    <row r="150" spans="1:45" x14ac:dyDescent="0.2">
      <c r="A150" s="4" t="s">
        <v>214</v>
      </c>
      <c r="B150" s="45">
        <v>421149</v>
      </c>
      <c r="C150" s="45">
        <v>420891.93599999999</v>
      </c>
      <c r="D150" s="45">
        <v>420891.93599999999</v>
      </c>
      <c r="E150" s="45">
        <v>420891.93599999999</v>
      </c>
      <c r="F150" s="45">
        <v>420891.93599999999</v>
      </c>
      <c r="G150" s="45">
        <v>421073.26500000001</v>
      </c>
      <c r="H150" s="45">
        <v>421073.26500000001</v>
      </c>
      <c r="I150" s="45">
        <v>421073.26500000001</v>
      </c>
      <c r="J150" s="45">
        <v>421073.26500000001</v>
      </c>
      <c r="K150" s="45">
        <v>421073.26500000001</v>
      </c>
      <c r="L150" s="45">
        <v>421073.26500000001</v>
      </c>
      <c r="M150" s="45">
        <v>421073.3</v>
      </c>
      <c r="N150" s="45">
        <v>421584</v>
      </c>
      <c r="O150" s="45">
        <v>421584</v>
      </c>
      <c r="P150" s="45">
        <v>421584</v>
      </c>
      <c r="Q150" s="45">
        <v>421584</v>
      </c>
      <c r="R150" s="45">
        <v>421459.1</v>
      </c>
      <c r="S150" s="45">
        <v>421459.1</v>
      </c>
      <c r="T150" s="45">
        <v>421459.1</v>
      </c>
      <c r="U150" s="45">
        <v>421459.1</v>
      </c>
      <c r="V150" s="45">
        <v>448244.6</v>
      </c>
      <c r="W150" s="45">
        <v>448244.6</v>
      </c>
      <c r="X150" s="45">
        <v>448244.6</v>
      </c>
      <c r="Y150" s="45">
        <v>448244.6</v>
      </c>
      <c r="Z150" s="45">
        <v>448218.1</v>
      </c>
      <c r="AA150" s="45">
        <v>448218.1</v>
      </c>
      <c r="AB150" s="45">
        <v>448218.1</v>
      </c>
      <c r="AC150" s="45">
        <v>448218.1</v>
      </c>
      <c r="AD150" s="45">
        <v>448640.1</v>
      </c>
      <c r="AE150" s="45">
        <v>448640.1</v>
      </c>
      <c r="AF150" s="45">
        <v>448640.1</v>
      </c>
      <c r="AG150" s="45">
        <v>448640.1</v>
      </c>
      <c r="AH150" s="45">
        <v>448951</v>
      </c>
      <c r="AI150" s="45">
        <v>448951</v>
      </c>
      <c r="AJ150" s="45">
        <v>448951</v>
      </c>
      <c r="AK150" s="45">
        <v>448951</v>
      </c>
      <c r="AL150" s="45">
        <v>449120.1</v>
      </c>
      <c r="AM150" s="45">
        <v>449120.1</v>
      </c>
      <c r="AN150" s="45">
        <v>449120.1</v>
      </c>
      <c r="AO150" s="45">
        <v>449120.1</v>
      </c>
      <c r="AP150" s="45">
        <v>478756.4</v>
      </c>
      <c r="AQ150" s="45">
        <v>478756.4</v>
      </c>
      <c r="AR150" s="45">
        <v>478756.4</v>
      </c>
      <c r="AS150" s="45">
        <v>478756.4</v>
      </c>
    </row>
    <row r="151" spans="1:45" x14ac:dyDescent="0.2">
      <c r="A151" s="4" t="s">
        <v>215</v>
      </c>
      <c r="B151" s="45">
        <v>422295</v>
      </c>
      <c r="C151" s="45">
        <v>422495.77299999999</v>
      </c>
      <c r="D151" s="45">
        <v>422495.77299999999</v>
      </c>
      <c r="E151" s="45">
        <v>422495.77299999999</v>
      </c>
      <c r="F151" s="45">
        <v>422495.77299999999</v>
      </c>
      <c r="G151" s="45">
        <v>422045.53399999999</v>
      </c>
      <c r="H151" s="45">
        <v>422045.53399999999</v>
      </c>
      <c r="I151" s="45">
        <v>422045.53399999999</v>
      </c>
      <c r="J151" s="45">
        <v>422045.53399999999</v>
      </c>
      <c r="K151" s="45">
        <v>422045.53399999999</v>
      </c>
      <c r="L151" s="45">
        <v>422045.53399999999</v>
      </c>
      <c r="M151" s="45">
        <v>422045.5</v>
      </c>
      <c r="N151" s="45">
        <v>422262.4</v>
      </c>
      <c r="O151" s="45">
        <v>422262.4</v>
      </c>
      <c r="P151" s="45">
        <v>422262.4</v>
      </c>
      <c r="Q151" s="45">
        <v>422262.4</v>
      </c>
      <c r="R151" s="45">
        <v>422119.1</v>
      </c>
      <c r="S151" s="45">
        <v>422119.1</v>
      </c>
      <c r="T151" s="45">
        <v>422119.1</v>
      </c>
      <c r="U151" s="45">
        <v>422119.1</v>
      </c>
      <c r="V151" s="45">
        <v>448230.2</v>
      </c>
      <c r="W151" s="45">
        <v>448230.2</v>
      </c>
      <c r="X151" s="45">
        <v>448230.2</v>
      </c>
      <c r="Y151" s="45">
        <v>448230.2</v>
      </c>
      <c r="Z151" s="45">
        <v>448204.1</v>
      </c>
      <c r="AA151" s="45">
        <v>448204.1</v>
      </c>
      <c r="AB151" s="45">
        <v>448204.1</v>
      </c>
      <c r="AC151" s="45">
        <v>448204.1</v>
      </c>
      <c r="AD151" s="45">
        <v>447946.7</v>
      </c>
      <c r="AE151" s="45">
        <v>447946.7</v>
      </c>
      <c r="AF151" s="45">
        <v>447946.7</v>
      </c>
      <c r="AG151" s="45">
        <v>447946.7</v>
      </c>
      <c r="AH151" s="45">
        <v>447719.7</v>
      </c>
      <c r="AI151" s="45">
        <v>447719.7</v>
      </c>
      <c r="AJ151" s="45">
        <v>447719.7</v>
      </c>
      <c r="AK151" s="45">
        <v>447719.7</v>
      </c>
      <c r="AL151" s="45">
        <v>447870.9</v>
      </c>
      <c r="AM151" s="45">
        <v>447870.9</v>
      </c>
      <c r="AN151" s="45">
        <v>447870.9</v>
      </c>
      <c r="AO151" s="45">
        <v>447870.9</v>
      </c>
      <c r="AP151" s="45">
        <v>477756.6</v>
      </c>
      <c r="AQ151" s="45">
        <v>477756.6</v>
      </c>
      <c r="AR151" s="45">
        <v>477756.6</v>
      </c>
      <c r="AS151" s="45">
        <v>477756.6</v>
      </c>
    </row>
    <row r="152" spans="1:45" x14ac:dyDescent="0.2">
      <c r="A152" s="4" t="s">
        <v>216</v>
      </c>
      <c r="B152" s="45">
        <v>422475</v>
      </c>
      <c r="C152" s="45">
        <v>422353.359</v>
      </c>
      <c r="D152" s="45">
        <v>422353.359</v>
      </c>
      <c r="E152" s="45">
        <v>422353.359</v>
      </c>
      <c r="F152" s="45">
        <v>422353.359</v>
      </c>
      <c r="G152" s="45">
        <v>421995.27899999998</v>
      </c>
      <c r="H152" s="45">
        <v>421995.27899999998</v>
      </c>
      <c r="I152" s="45">
        <v>421995.27899999998</v>
      </c>
      <c r="J152" s="45">
        <v>421995.27899999998</v>
      </c>
      <c r="K152" s="45">
        <v>421995.27899999998</v>
      </c>
      <c r="L152" s="45">
        <v>421995.27899999998</v>
      </c>
      <c r="M152" s="45">
        <v>421995.3</v>
      </c>
      <c r="N152" s="45">
        <v>421838.8</v>
      </c>
      <c r="O152" s="45">
        <v>421838.8</v>
      </c>
      <c r="P152" s="45">
        <v>421838.8</v>
      </c>
      <c r="Q152" s="45">
        <v>421838.8</v>
      </c>
      <c r="R152" s="45">
        <v>421755.5</v>
      </c>
      <c r="S152" s="45">
        <v>421755.5</v>
      </c>
      <c r="T152" s="45">
        <v>421755.5</v>
      </c>
      <c r="U152" s="45">
        <v>421755.5</v>
      </c>
      <c r="V152" s="45">
        <v>448760.4</v>
      </c>
      <c r="W152" s="45">
        <v>448760.4</v>
      </c>
      <c r="X152" s="45">
        <v>448760.4</v>
      </c>
      <c r="Y152" s="45">
        <v>448760.4</v>
      </c>
      <c r="Z152" s="45">
        <v>448745.6</v>
      </c>
      <c r="AA152" s="45">
        <v>448745.6</v>
      </c>
      <c r="AB152" s="45">
        <v>448745.6</v>
      </c>
      <c r="AC152" s="45">
        <v>448745.6</v>
      </c>
      <c r="AD152" s="45">
        <v>448751.1</v>
      </c>
      <c r="AE152" s="45">
        <v>448751.1</v>
      </c>
      <c r="AF152" s="45">
        <v>448751.1</v>
      </c>
      <c r="AG152" s="45">
        <v>448751.1</v>
      </c>
      <c r="AH152" s="45">
        <v>448936.2</v>
      </c>
      <c r="AI152" s="45">
        <v>448936.2</v>
      </c>
      <c r="AJ152" s="45">
        <v>448936.2</v>
      </c>
      <c r="AK152" s="45">
        <v>448936.2</v>
      </c>
      <c r="AL152" s="45">
        <v>448931.1</v>
      </c>
      <c r="AM152" s="45">
        <v>448931.1</v>
      </c>
      <c r="AN152" s="45">
        <v>448931.1</v>
      </c>
      <c r="AO152" s="45">
        <v>448931.1</v>
      </c>
      <c r="AP152" s="45">
        <v>479138.7</v>
      </c>
      <c r="AQ152" s="45">
        <v>479138.7</v>
      </c>
      <c r="AR152" s="45">
        <v>479138.7</v>
      </c>
      <c r="AS152" s="45">
        <v>479138.7</v>
      </c>
    </row>
    <row r="153" spans="1:45" x14ac:dyDescent="0.2">
      <c r="A153" s="4" t="s">
        <v>217</v>
      </c>
      <c r="B153" s="45">
        <v>421753</v>
      </c>
      <c r="C153" s="45">
        <v>421812.864</v>
      </c>
      <c r="D153" s="45">
        <v>421812.864</v>
      </c>
      <c r="E153" s="45">
        <v>421812.864</v>
      </c>
      <c r="F153" s="45">
        <v>421812.864</v>
      </c>
      <c r="G153" s="45">
        <v>421546.07799999998</v>
      </c>
      <c r="H153" s="45">
        <v>421546.07799999998</v>
      </c>
      <c r="I153" s="45">
        <v>421546.07799999998</v>
      </c>
      <c r="J153" s="45">
        <v>421546.07799999998</v>
      </c>
      <c r="K153" s="45">
        <v>421546.07799999998</v>
      </c>
      <c r="L153" s="45">
        <v>421546.07799999998</v>
      </c>
      <c r="M153" s="45">
        <v>421546.1</v>
      </c>
      <c r="N153" s="45">
        <v>421684.3</v>
      </c>
      <c r="O153" s="45">
        <v>421684.3</v>
      </c>
      <c r="P153" s="45">
        <v>421684.3</v>
      </c>
      <c r="Q153" s="45">
        <v>421684.3</v>
      </c>
      <c r="R153" s="45">
        <v>421711</v>
      </c>
      <c r="S153" s="45">
        <v>421711</v>
      </c>
      <c r="T153" s="45">
        <v>421711</v>
      </c>
      <c r="U153" s="45">
        <v>421711</v>
      </c>
      <c r="V153" s="45">
        <v>449562.5</v>
      </c>
      <c r="W153" s="45">
        <v>449562.5</v>
      </c>
      <c r="X153" s="45">
        <v>449562.5</v>
      </c>
      <c r="Y153" s="45">
        <v>449562.5</v>
      </c>
      <c r="Z153" s="45">
        <v>449577.4</v>
      </c>
      <c r="AA153" s="45">
        <v>449577.4</v>
      </c>
      <c r="AB153" s="45">
        <v>449577.4</v>
      </c>
      <c r="AC153" s="45">
        <v>449577.4</v>
      </c>
      <c r="AD153" s="45">
        <v>449763.1</v>
      </c>
      <c r="AE153" s="45">
        <v>449763.1</v>
      </c>
      <c r="AF153" s="45">
        <v>449763.1</v>
      </c>
      <c r="AG153" s="45">
        <v>449763.1</v>
      </c>
      <c r="AH153" s="45">
        <v>449872.3</v>
      </c>
      <c r="AI153" s="45">
        <v>449872.3</v>
      </c>
      <c r="AJ153" s="45">
        <v>449872.3</v>
      </c>
      <c r="AK153" s="45">
        <v>449872.3</v>
      </c>
      <c r="AL153" s="45">
        <v>449677</v>
      </c>
      <c r="AM153" s="45">
        <v>449677</v>
      </c>
      <c r="AN153" s="45">
        <v>449677</v>
      </c>
      <c r="AO153" s="45">
        <v>449677</v>
      </c>
      <c r="AP153" s="45">
        <v>479299.1</v>
      </c>
      <c r="AQ153" s="45">
        <v>479299.1</v>
      </c>
      <c r="AR153" s="45">
        <v>479299.1</v>
      </c>
      <c r="AS153" s="45">
        <v>479299.1</v>
      </c>
    </row>
    <row r="154" spans="1:45" x14ac:dyDescent="0.2">
      <c r="A154" s="4" t="s">
        <v>218</v>
      </c>
      <c r="B154" s="45">
        <v>421106</v>
      </c>
      <c r="C154" s="45">
        <v>421093.37900000002</v>
      </c>
      <c r="D154" s="45">
        <v>421093.37900000002</v>
      </c>
      <c r="E154" s="45">
        <v>421093.37900000002</v>
      </c>
      <c r="F154" s="45">
        <v>421093.37900000002</v>
      </c>
      <c r="G154" s="45">
        <v>421335.20899999997</v>
      </c>
      <c r="H154" s="45">
        <v>421335.20899999997</v>
      </c>
      <c r="I154" s="45">
        <v>421335.20899999997</v>
      </c>
      <c r="J154" s="45">
        <v>421335.20899999997</v>
      </c>
      <c r="K154" s="45">
        <v>421335.20899999997</v>
      </c>
      <c r="L154" s="45">
        <v>421335.20899999997</v>
      </c>
      <c r="M154" s="45">
        <v>421335.2</v>
      </c>
      <c r="N154" s="45">
        <v>421060.8</v>
      </c>
      <c r="O154" s="45">
        <v>421060.8</v>
      </c>
      <c r="P154" s="45">
        <v>421060.8</v>
      </c>
      <c r="Q154" s="45">
        <v>421060.8</v>
      </c>
      <c r="R154" s="45">
        <v>421200.3</v>
      </c>
      <c r="S154" s="45">
        <v>421200.3</v>
      </c>
      <c r="T154" s="45">
        <v>421200.3</v>
      </c>
      <c r="U154" s="45">
        <v>421200.3</v>
      </c>
      <c r="V154" s="45">
        <v>448128.5</v>
      </c>
      <c r="W154" s="45">
        <v>448128.5</v>
      </c>
      <c r="X154" s="45">
        <v>448128.5</v>
      </c>
      <c r="Y154" s="45">
        <v>448128.5</v>
      </c>
      <c r="Z154" s="45">
        <v>448148</v>
      </c>
      <c r="AA154" s="45">
        <v>448148</v>
      </c>
      <c r="AB154" s="45">
        <v>448148</v>
      </c>
      <c r="AC154" s="45">
        <v>448148</v>
      </c>
      <c r="AD154" s="45">
        <v>448226.9</v>
      </c>
      <c r="AE154" s="45">
        <v>448226.9</v>
      </c>
      <c r="AF154" s="45">
        <v>448226.9</v>
      </c>
      <c r="AG154" s="45">
        <v>448226.9</v>
      </c>
      <c r="AH154" s="45">
        <v>448256.8</v>
      </c>
      <c r="AI154" s="45">
        <v>448256.8</v>
      </c>
      <c r="AJ154" s="45">
        <v>448256.8</v>
      </c>
      <c r="AK154" s="45">
        <v>448256.8</v>
      </c>
      <c r="AL154" s="45">
        <v>448228</v>
      </c>
      <c r="AM154" s="45">
        <v>448228</v>
      </c>
      <c r="AN154" s="45">
        <v>448228</v>
      </c>
      <c r="AO154" s="45">
        <v>448228</v>
      </c>
      <c r="AP154" s="45">
        <v>478288.6</v>
      </c>
      <c r="AQ154" s="45">
        <v>478288.6</v>
      </c>
      <c r="AR154" s="45">
        <v>478288.6</v>
      </c>
      <c r="AS154" s="45">
        <v>478288.6</v>
      </c>
    </row>
    <row r="155" spans="1:45" x14ac:dyDescent="0.2">
      <c r="A155" s="4" t="s">
        <v>219</v>
      </c>
      <c r="B155" s="45">
        <v>425242</v>
      </c>
      <c r="C155" s="45">
        <v>424943.435</v>
      </c>
      <c r="D155" s="45">
        <v>424943.435</v>
      </c>
      <c r="E155" s="45">
        <v>424943.435</v>
      </c>
      <c r="F155" s="45">
        <v>425053.60700000002</v>
      </c>
      <c r="G155" s="45">
        <v>424823.766</v>
      </c>
      <c r="H155" s="45">
        <v>424823.766</v>
      </c>
      <c r="I155" s="45">
        <v>424823.766</v>
      </c>
      <c r="J155" s="45">
        <v>424823.766</v>
      </c>
      <c r="K155" s="45">
        <v>424823.766</v>
      </c>
      <c r="L155" s="45">
        <v>424823.766</v>
      </c>
      <c r="M155" s="45">
        <v>424823.8</v>
      </c>
      <c r="N155" s="45">
        <v>425734.7</v>
      </c>
      <c r="O155" s="45">
        <v>425734.7</v>
      </c>
      <c r="P155" s="45">
        <v>425734.7</v>
      </c>
      <c r="Q155" s="45">
        <v>425734.7</v>
      </c>
      <c r="R155" s="45">
        <v>425552</v>
      </c>
      <c r="S155" s="45">
        <v>425552</v>
      </c>
      <c r="T155" s="45">
        <v>425552</v>
      </c>
      <c r="U155" s="45">
        <v>425552</v>
      </c>
      <c r="V155" s="45">
        <v>452802.5</v>
      </c>
      <c r="W155" s="45">
        <v>452802.5</v>
      </c>
      <c r="X155" s="45">
        <v>452802.5</v>
      </c>
      <c r="Y155" s="45">
        <v>452802.5</v>
      </c>
      <c r="Z155" s="45">
        <v>452898</v>
      </c>
      <c r="AA155" s="45">
        <v>452898</v>
      </c>
      <c r="AB155" s="45">
        <v>452898</v>
      </c>
      <c r="AC155" s="45">
        <v>452898</v>
      </c>
      <c r="AD155" s="45">
        <v>453226.4</v>
      </c>
      <c r="AE155" s="45">
        <v>453226.4</v>
      </c>
      <c r="AF155" s="45">
        <v>453226.4</v>
      </c>
      <c r="AG155" s="45">
        <v>453226.4</v>
      </c>
      <c r="AH155" s="45">
        <v>453480.5</v>
      </c>
      <c r="AI155" s="45">
        <v>453480.5</v>
      </c>
      <c r="AJ155" s="45">
        <v>453480.5</v>
      </c>
      <c r="AK155" s="45">
        <v>453480.5</v>
      </c>
      <c r="AL155" s="45">
        <v>453499.3</v>
      </c>
      <c r="AM155" s="45">
        <v>453499.3</v>
      </c>
      <c r="AN155" s="45">
        <v>453499.3</v>
      </c>
      <c r="AO155" s="45">
        <v>453499.3</v>
      </c>
      <c r="AP155" s="45">
        <v>483194</v>
      </c>
      <c r="AQ155" s="45">
        <v>483194</v>
      </c>
      <c r="AR155" s="45">
        <v>483194</v>
      </c>
      <c r="AS155" s="45">
        <v>483194</v>
      </c>
    </row>
    <row r="156" spans="1:45" x14ac:dyDescent="0.2">
      <c r="A156" s="4" t="s">
        <v>220</v>
      </c>
      <c r="B156" s="45">
        <v>421830</v>
      </c>
      <c r="C156" s="45">
        <v>421755.13</v>
      </c>
      <c r="D156" s="45">
        <v>421755.13</v>
      </c>
      <c r="E156" s="45">
        <v>421755.13</v>
      </c>
      <c r="F156" s="45">
        <v>421861.67300000001</v>
      </c>
      <c r="G156" s="45">
        <v>421572.647</v>
      </c>
      <c r="H156" s="45">
        <v>421572.647</v>
      </c>
      <c r="I156" s="45">
        <v>421572.647</v>
      </c>
      <c r="J156" s="45">
        <v>421572.647</v>
      </c>
      <c r="K156" s="45">
        <v>421572.647</v>
      </c>
      <c r="L156" s="45">
        <v>421572.647</v>
      </c>
      <c r="M156" s="45">
        <v>421572.6</v>
      </c>
      <c r="N156" s="45">
        <v>421547.1</v>
      </c>
      <c r="O156" s="45">
        <v>421547.1</v>
      </c>
      <c r="P156" s="45">
        <v>421547.1</v>
      </c>
      <c r="Q156" s="45">
        <v>421547.1</v>
      </c>
      <c r="R156" s="45">
        <v>421528.7</v>
      </c>
      <c r="S156" s="45">
        <v>421528.7</v>
      </c>
      <c r="T156" s="45">
        <v>421528.7</v>
      </c>
      <c r="U156" s="45">
        <v>421528.7</v>
      </c>
      <c r="V156" s="45">
        <v>448731.9</v>
      </c>
      <c r="W156" s="45">
        <v>448731.9</v>
      </c>
      <c r="X156" s="45">
        <v>448731.9</v>
      </c>
      <c r="Y156" s="45">
        <v>448731.9</v>
      </c>
      <c r="Z156" s="45">
        <v>448735.1</v>
      </c>
      <c r="AA156" s="45">
        <v>448735.1</v>
      </c>
      <c r="AB156" s="45">
        <v>448735.1</v>
      </c>
      <c r="AC156" s="45">
        <v>448735.1</v>
      </c>
      <c r="AD156" s="45">
        <v>448938.2</v>
      </c>
      <c r="AE156" s="45">
        <v>448938.2</v>
      </c>
      <c r="AF156" s="45">
        <v>448938.2</v>
      </c>
      <c r="AG156" s="45">
        <v>448938.2</v>
      </c>
      <c r="AH156" s="45">
        <v>449173.7</v>
      </c>
      <c r="AI156" s="45">
        <v>449173.7</v>
      </c>
      <c r="AJ156" s="45">
        <v>449173.7</v>
      </c>
      <c r="AK156" s="45">
        <v>449173.7</v>
      </c>
      <c r="AL156" s="45">
        <v>448970.1</v>
      </c>
      <c r="AM156" s="45">
        <v>448970.1</v>
      </c>
      <c r="AN156" s="45">
        <v>448970.1</v>
      </c>
      <c r="AO156" s="45">
        <v>448970.1</v>
      </c>
      <c r="AP156" s="45">
        <v>478677</v>
      </c>
      <c r="AQ156" s="45">
        <v>478677</v>
      </c>
      <c r="AR156" s="45">
        <v>478677</v>
      </c>
      <c r="AS156" s="45">
        <v>478677</v>
      </c>
    </row>
    <row r="157" spans="1:45" x14ac:dyDescent="0.2">
      <c r="A157" s="4" t="s">
        <v>221</v>
      </c>
      <c r="B157" s="45">
        <v>416214</v>
      </c>
      <c r="C157" s="45">
        <v>416301.74800000002</v>
      </c>
      <c r="D157" s="45">
        <v>416301.74800000002</v>
      </c>
      <c r="E157" s="45">
        <v>416301.74800000002</v>
      </c>
      <c r="F157" s="45">
        <v>416440.30200000003</v>
      </c>
      <c r="G157" s="45">
        <v>416104.587</v>
      </c>
      <c r="H157" s="45">
        <v>416104.587</v>
      </c>
      <c r="I157" s="45">
        <v>416104.587</v>
      </c>
      <c r="J157" s="45">
        <v>416104.587</v>
      </c>
      <c r="K157" s="45">
        <v>416104.587</v>
      </c>
      <c r="L157" s="45">
        <v>416104.587</v>
      </c>
      <c r="M157" s="45">
        <v>416104.6</v>
      </c>
      <c r="N157" s="45">
        <v>415652.9</v>
      </c>
      <c r="O157" s="45">
        <v>415652.9</v>
      </c>
      <c r="P157" s="45">
        <v>415652.9</v>
      </c>
      <c r="Q157" s="45">
        <v>415652.9</v>
      </c>
      <c r="R157" s="45">
        <v>415752.6</v>
      </c>
      <c r="S157" s="45">
        <v>415752.6</v>
      </c>
      <c r="T157" s="45">
        <v>415752.6</v>
      </c>
      <c r="U157" s="45">
        <v>415752.6</v>
      </c>
      <c r="V157" s="45">
        <v>443396.1</v>
      </c>
      <c r="W157" s="45">
        <v>443396.1</v>
      </c>
      <c r="X157" s="45">
        <v>443396.1</v>
      </c>
      <c r="Y157" s="45">
        <v>443396.1</v>
      </c>
      <c r="Z157" s="45">
        <v>443423</v>
      </c>
      <c r="AA157" s="45">
        <v>443423</v>
      </c>
      <c r="AB157" s="45">
        <v>443423</v>
      </c>
      <c r="AC157" s="45">
        <v>443423</v>
      </c>
      <c r="AD157" s="45">
        <v>443406.9</v>
      </c>
      <c r="AE157" s="45">
        <v>443406.9</v>
      </c>
      <c r="AF157" s="45">
        <v>443406.9</v>
      </c>
      <c r="AG157" s="45">
        <v>443406.9</v>
      </c>
      <c r="AH157" s="45">
        <v>443489.7</v>
      </c>
      <c r="AI157" s="45">
        <v>443489.7</v>
      </c>
      <c r="AJ157" s="45">
        <v>443489.7</v>
      </c>
      <c r="AK157" s="45">
        <v>443489.7</v>
      </c>
      <c r="AL157" s="45">
        <v>443404.6</v>
      </c>
      <c r="AM157" s="45">
        <v>443404.6</v>
      </c>
      <c r="AN157" s="45">
        <v>443404.6</v>
      </c>
      <c r="AO157" s="45">
        <v>443404.6</v>
      </c>
      <c r="AP157" s="45">
        <v>471556</v>
      </c>
      <c r="AQ157" s="45">
        <v>471556</v>
      </c>
      <c r="AR157" s="45">
        <v>471556</v>
      </c>
      <c r="AS157" s="45">
        <v>471556</v>
      </c>
    </row>
    <row r="158" spans="1:45" x14ac:dyDescent="0.2">
      <c r="A158" s="4" t="s">
        <v>222</v>
      </c>
      <c r="B158" s="45">
        <v>406339</v>
      </c>
      <c r="C158" s="45">
        <v>406693.13400000002</v>
      </c>
      <c r="D158" s="45">
        <v>406693.13400000002</v>
      </c>
      <c r="E158" s="45">
        <v>406693.13400000002</v>
      </c>
      <c r="F158" s="45">
        <v>406365.576</v>
      </c>
      <c r="G158" s="45">
        <v>406427.89</v>
      </c>
      <c r="H158" s="45">
        <v>406427.89</v>
      </c>
      <c r="I158" s="45">
        <v>406427.89</v>
      </c>
      <c r="J158" s="45">
        <v>406427.89</v>
      </c>
      <c r="K158" s="45">
        <v>406427.89</v>
      </c>
      <c r="L158" s="45">
        <v>406427.89</v>
      </c>
      <c r="M158" s="45">
        <v>406427.9</v>
      </c>
      <c r="N158" s="45">
        <v>406226.7</v>
      </c>
      <c r="O158" s="45">
        <v>406226.7</v>
      </c>
      <c r="P158" s="45">
        <v>406226.7</v>
      </c>
      <c r="Q158" s="45">
        <v>406226.7</v>
      </c>
      <c r="R158" s="45">
        <v>406228.2</v>
      </c>
      <c r="S158" s="45">
        <v>406228.2</v>
      </c>
      <c r="T158" s="45">
        <v>406228.2</v>
      </c>
      <c r="U158" s="45">
        <v>406228.2</v>
      </c>
      <c r="V158" s="45">
        <v>432441.2</v>
      </c>
      <c r="W158" s="45">
        <v>432441.2</v>
      </c>
      <c r="X158" s="45">
        <v>432441.2</v>
      </c>
      <c r="Y158" s="45">
        <v>432441.2</v>
      </c>
      <c r="Z158" s="45">
        <v>432340.1</v>
      </c>
      <c r="AA158" s="45">
        <v>432340.1</v>
      </c>
      <c r="AB158" s="45">
        <v>432340.1</v>
      </c>
      <c r="AC158" s="45">
        <v>432340.1</v>
      </c>
      <c r="AD158" s="45">
        <v>431789.4</v>
      </c>
      <c r="AE158" s="45">
        <v>431789.4</v>
      </c>
      <c r="AF158" s="45">
        <v>431789.4</v>
      </c>
      <c r="AG158" s="45">
        <v>431789.4</v>
      </c>
      <c r="AH158" s="45">
        <v>431345.9</v>
      </c>
      <c r="AI158" s="45">
        <v>431345.9</v>
      </c>
      <c r="AJ158" s="45">
        <v>431345.9</v>
      </c>
      <c r="AK158" s="45">
        <v>431345.9</v>
      </c>
      <c r="AL158" s="45">
        <v>431568.8</v>
      </c>
      <c r="AM158" s="45">
        <v>431568.8</v>
      </c>
      <c r="AN158" s="45">
        <v>431568.8</v>
      </c>
      <c r="AO158" s="45">
        <v>431568.8</v>
      </c>
      <c r="AP158" s="45">
        <v>460733.5</v>
      </c>
      <c r="AQ158" s="45">
        <v>460733.5</v>
      </c>
      <c r="AR158" s="45">
        <v>460733.5</v>
      </c>
      <c r="AS158" s="45">
        <v>460733.5</v>
      </c>
    </row>
    <row r="159" spans="1:45" x14ac:dyDescent="0.2">
      <c r="A159" s="4" t="s">
        <v>223</v>
      </c>
      <c r="B159" s="45">
        <v>394636</v>
      </c>
      <c r="C159" s="45">
        <v>394421.90500000003</v>
      </c>
      <c r="D159" s="45">
        <v>394421.90500000003</v>
      </c>
      <c r="E159" s="45">
        <v>394421.90500000003</v>
      </c>
      <c r="F159" s="45">
        <v>394538.777</v>
      </c>
      <c r="G159" s="45">
        <v>394585.90600000002</v>
      </c>
      <c r="H159" s="45">
        <v>394585.90600000002</v>
      </c>
      <c r="I159" s="45">
        <v>394585.90600000002</v>
      </c>
      <c r="J159" s="45">
        <v>394638.39199999999</v>
      </c>
      <c r="K159" s="45">
        <v>394638.39199999999</v>
      </c>
      <c r="L159" s="45">
        <v>394638.39199999999</v>
      </c>
      <c r="M159" s="45">
        <v>394638.4</v>
      </c>
      <c r="N159" s="45">
        <v>395045.5</v>
      </c>
      <c r="O159" s="45">
        <v>395045.5</v>
      </c>
      <c r="P159" s="45">
        <v>395045.5</v>
      </c>
      <c r="Q159" s="45">
        <v>395045.5</v>
      </c>
      <c r="R159" s="45">
        <v>395107.6</v>
      </c>
      <c r="S159" s="45">
        <v>395107.6</v>
      </c>
      <c r="T159" s="45">
        <v>395107.6</v>
      </c>
      <c r="U159" s="45">
        <v>395107.6</v>
      </c>
      <c r="V159" s="45">
        <v>420356</v>
      </c>
      <c r="W159" s="45">
        <v>420356</v>
      </c>
      <c r="X159" s="45">
        <v>420356</v>
      </c>
      <c r="Y159" s="45">
        <v>420356</v>
      </c>
      <c r="Z159" s="45">
        <v>420340</v>
      </c>
      <c r="AA159" s="45">
        <v>420340</v>
      </c>
      <c r="AB159" s="45">
        <v>420340</v>
      </c>
      <c r="AC159" s="45">
        <v>420340</v>
      </c>
      <c r="AD159" s="45">
        <v>420158.1</v>
      </c>
      <c r="AE159" s="45">
        <v>420158.1</v>
      </c>
      <c r="AF159" s="45">
        <v>420158.1</v>
      </c>
      <c r="AG159" s="45">
        <v>420158.1</v>
      </c>
      <c r="AH159" s="45">
        <v>420586.2</v>
      </c>
      <c r="AI159" s="45">
        <v>420586.2</v>
      </c>
      <c r="AJ159" s="45">
        <v>420586.2</v>
      </c>
      <c r="AK159" s="45">
        <v>420586.2</v>
      </c>
      <c r="AL159" s="45">
        <v>421027.3</v>
      </c>
      <c r="AM159" s="45">
        <v>421027.3</v>
      </c>
      <c r="AN159" s="45">
        <v>421027.3</v>
      </c>
      <c r="AO159" s="45">
        <v>421027.3</v>
      </c>
      <c r="AP159" s="45">
        <v>449463.7</v>
      </c>
      <c r="AQ159" s="45">
        <v>449463.7</v>
      </c>
      <c r="AR159" s="45">
        <v>449463.7</v>
      </c>
      <c r="AS159" s="45">
        <v>449463.7</v>
      </c>
    </row>
    <row r="160" spans="1:45" x14ac:dyDescent="0.2">
      <c r="A160" s="4" t="s">
        <v>224</v>
      </c>
      <c r="B160" s="45">
        <v>392956</v>
      </c>
      <c r="C160" s="45">
        <v>392851.57799999998</v>
      </c>
      <c r="D160" s="45">
        <v>392851.57799999998</v>
      </c>
      <c r="E160" s="45">
        <v>392851.57799999998</v>
      </c>
      <c r="F160" s="45">
        <v>392758.57699999999</v>
      </c>
      <c r="G160" s="45">
        <v>392392.99599999998</v>
      </c>
      <c r="H160" s="45">
        <v>392392.99599999998</v>
      </c>
      <c r="I160" s="45">
        <v>392392.99599999998</v>
      </c>
      <c r="J160" s="45">
        <v>392404.98300000001</v>
      </c>
      <c r="K160" s="45">
        <v>392404.98300000001</v>
      </c>
      <c r="L160" s="45">
        <v>392404.98300000001</v>
      </c>
      <c r="M160" s="45">
        <v>392405</v>
      </c>
      <c r="N160" s="45">
        <v>391907.1</v>
      </c>
      <c r="O160" s="45">
        <v>391907.1</v>
      </c>
      <c r="P160" s="45">
        <v>391907.1</v>
      </c>
      <c r="Q160" s="45">
        <v>391907.1</v>
      </c>
      <c r="R160" s="45">
        <v>392011.6</v>
      </c>
      <c r="S160" s="45">
        <v>392011.6</v>
      </c>
      <c r="T160" s="45">
        <v>392011.6</v>
      </c>
      <c r="U160" s="45">
        <v>392011.6</v>
      </c>
      <c r="V160" s="45">
        <v>419031.2</v>
      </c>
      <c r="W160" s="45">
        <v>419031.2</v>
      </c>
      <c r="X160" s="45">
        <v>419031.2</v>
      </c>
      <c r="Y160" s="45">
        <v>419031.2</v>
      </c>
      <c r="Z160" s="45">
        <v>419047</v>
      </c>
      <c r="AA160" s="45">
        <v>419047</v>
      </c>
      <c r="AB160" s="45">
        <v>419047</v>
      </c>
      <c r="AC160" s="45">
        <v>419047</v>
      </c>
      <c r="AD160" s="45">
        <v>418820.9</v>
      </c>
      <c r="AE160" s="45">
        <v>418820.9</v>
      </c>
      <c r="AF160" s="45">
        <v>418820.9</v>
      </c>
      <c r="AG160" s="45">
        <v>418820.9</v>
      </c>
      <c r="AH160" s="45">
        <v>418490.7</v>
      </c>
      <c r="AI160" s="45">
        <v>418490.7</v>
      </c>
      <c r="AJ160" s="45">
        <v>418490.7</v>
      </c>
      <c r="AK160" s="45">
        <v>418490.7</v>
      </c>
      <c r="AL160" s="45">
        <v>418491</v>
      </c>
      <c r="AM160" s="45">
        <v>418491</v>
      </c>
      <c r="AN160" s="45">
        <v>418491</v>
      </c>
      <c r="AO160" s="45">
        <v>418491</v>
      </c>
      <c r="AP160" s="45">
        <v>446835.4</v>
      </c>
      <c r="AQ160" s="45">
        <v>446835.4</v>
      </c>
      <c r="AR160" s="45">
        <v>446835.4</v>
      </c>
      <c r="AS160" s="45">
        <v>446835.4</v>
      </c>
    </row>
    <row r="161" spans="1:45" x14ac:dyDescent="0.2">
      <c r="A161" s="4" t="s">
        <v>225</v>
      </c>
      <c r="B161" s="45">
        <v>395086</v>
      </c>
      <c r="C161" s="45">
        <v>395128.13400000002</v>
      </c>
      <c r="D161" s="45">
        <v>395128.13400000002</v>
      </c>
      <c r="E161" s="45">
        <v>395128.13400000002</v>
      </c>
      <c r="F161" s="45">
        <v>395016.85600000003</v>
      </c>
      <c r="G161" s="45">
        <v>394512.13</v>
      </c>
      <c r="H161" s="45">
        <v>394512.13</v>
      </c>
      <c r="I161" s="45">
        <v>394512.13</v>
      </c>
      <c r="J161" s="45">
        <v>394405.75199999998</v>
      </c>
      <c r="K161" s="45">
        <v>394405.75199999998</v>
      </c>
      <c r="L161" s="45">
        <v>394405.75199999998</v>
      </c>
      <c r="M161" s="45">
        <v>394405.8</v>
      </c>
      <c r="N161" s="45">
        <v>394141.4</v>
      </c>
      <c r="O161" s="45">
        <v>394141.4</v>
      </c>
      <c r="P161" s="45">
        <v>394141.4</v>
      </c>
      <c r="Q161" s="45">
        <v>394141.4</v>
      </c>
      <c r="R161" s="45">
        <v>394154.5</v>
      </c>
      <c r="S161" s="45">
        <v>394154.5</v>
      </c>
      <c r="T161" s="45">
        <v>394154.5</v>
      </c>
      <c r="U161" s="45">
        <v>394154.5</v>
      </c>
      <c r="V161" s="45">
        <v>421042.6</v>
      </c>
      <c r="W161" s="45">
        <v>421042.6</v>
      </c>
      <c r="X161" s="45">
        <v>421042.6</v>
      </c>
      <c r="Y161" s="45">
        <v>421042.6</v>
      </c>
      <c r="Z161" s="45">
        <v>421080</v>
      </c>
      <c r="AA161" s="45">
        <v>421080</v>
      </c>
      <c r="AB161" s="45">
        <v>421080</v>
      </c>
      <c r="AC161" s="45">
        <v>421080</v>
      </c>
      <c r="AD161" s="45">
        <v>421257.8</v>
      </c>
      <c r="AE161" s="45">
        <v>421257.8</v>
      </c>
      <c r="AF161" s="45">
        <v>421257.8</v>
      </c>
      <c r="AG161" s="45">
        <v>421257.8</v>
      </c>
      <c r="AH161" s="45">
        <v>421145</v>
      </c>
      <c r="AI161" s="45">
        <v>421145</v>
      </c>
      <c r="AJ161" s="45">
        <v>421145</v>
      </c>
      <c r="AK161" s="45">
        <v>421145</v>
      </c>
      <c r="AL161" s="45">
        <v>420836.6</v>
      </c>
      <c r="AM161" s="45">
        <v>420836.6</v>
      </c>
      <c r="AN161" s="45">
        <v>420836.6</v>
      </c>
      <c r="AO161" s="45">
        <v>420836.6</v>
      </c>
      <c r="AP161" s="45">
        <v>447953.9</v>
      </c>
      <c r="AQ161" s="45">
        <v>447953.9</v>
      </c>
      <c r="AR161" s="45">
        <v>447953.9</v>
      </c>
      <c r="AS161" s="45">
        <v>447953.9</v>
      </c>
    </row>
    <row r="162" spans="1:45" x14ac:dyDescent="0.2">
      <c r="A162" s="4" t="s">
        <v>226</v>
      </c>
      <c r="B162" s="45">
        <v>394965</v>
      </c>
      <c r="C162" s="45">
        <v>395443.42700000003</v>
      </c>
      <c r="D162" s="45">
        <v>395443.42700000003</v>
      </c>
      <c r="E162" s="45">
        <v>395443.42700000003</v>
      </c>
      <c r="F162" s="45">
        <v>395477.98700000002</v>
      </c>
      <c r="G162" s="45">
        <v>395410.80099999998</v>
      </c>
      <c r="H162" s="45">
        <v>395410.80099999998</v>
      </c>
      <c r="I162" s="45">
        <v>395410.80099999998</v>
      </c>
      <c r="J162" s="45">
        <v>395393.99599999998</v>
      </c>
      <c r="K162" s="45">
        <v>395393.99599999998</v>
      </c>
      <c r="L162" s="45">
        <v>395393.99599999998</v>
      </c>
      <c r="M162" s="45">
        <v>395394</v>
      </c>
      <c r="N162" s="45">
        <v>395692.5</v>
      </c>
      <c r="O162" s="45">
        <v>395692.5</v>
      </c>
      <c r="P162" s="45">
        <v>395692.5</v>
      </c>
      <c r="Q162" s="45">
        <v>395692.5</v>
      </c>
      <c r="R162" s="45">
        <v>395593.5</v>
      </c>
      <c r="S162" s="45">
        <v>395593.5</v>
      </c>
      <c r="T162" s="45">
        <v>395593.5</v>
      </c>
      <c r="U162" s="45">
        <v>395593.5</v>
      </c>
      <c r="V162" s="45">
        <v>422358.4</v>
      </c>
      <c r="W162" s="45">
        <v>422358.4</v>
      </c>
      <c r="X162" s="45">
        <v>422358.4</v>
      </c>
      <c r="Y162" s="45">
        <v>422358.4</v>
      </c>
      <c r="Z162" s="45">
        <v>422310.3</v>
      </c>
      <c r="AA162" s="45">
        <v>422310.3</v>
      </c>
      <c r="AB162" s="45">
        <v>422310.3</v>
      </c>
      <c r="AC162" s="45">
        <v>422310.3</v>
      </c>
      <c r="AD162" s="45">
        <v>422624.8</v>
      </c>
      <c r="AE162" s="45">
        <v>422624.8</v>
      </c>
      <c r="AF162" s="45">
        <v>422624.8</v>
      </c>
      <c r="AG162" s="45">
        <v>422624.8</v>
      </c>
      <c r="AH162" s="45">
        <v>422534.7</v>
      </c>
      <c r="AI162" s="45">
        <v>422534.7</v>
      </c>
      <c r="AJ162" s="45">
        <v>422534.7</v>
      </c>
      <c r="AK162" s="45">
        <v>422534.7</v>
      </c>
      <c r="AL162" s="45">
        <v>422292.8</v>
      </c>
      <c r="AM162" s="45">
        <v>422292.8</v>
      </c>
      <c r="AN162" s="45">
        <v>422292.8</v>
      </c>
      <c r="AO162" s="45">
        <v>422292.8</v>
      </c>
      <c r="AP162" s="45">
        <v>449072.2</v>
      </c>
      <c r="AQ162" s="45">
        <v>449072.2</v>
      </c>
      <c r="AR162" s="45">
        <v>449072.2</v>
      </c>
      <c r="AS162" s="45">
        <v>449072.2</v>
      </c>
    </row>
    <row r="163" spans="1:45" x14ac:dyDescent="0.2">
      <c r="A163" s="4" t="s">
        <v>227</v>
      </c>
      <c r="B163" s="45">
        <v>397300.85700000002</v>
      </c>
      <c r="C163" s="45">
        <v>397545.99699999997</v>
      </c>
      <c r="D163" s="45">
        <v>397545.99699999997</v>
      </c>
      <c r="E163" s="45">
        <v>397545.99699999997</v>
      </c>
      <c r="F163" s="45">
        <v>397303.46899999998</v>
      </c>
      <c r="G163" s="45">
        <v>397084.55200000003</v>
      </c>
      <c r="H163" s="45">
        <v>397084.55200000003</v>
      </c>
      <c r="I163" s="45">
        <v>397084.55200000003</v>
      </c>
      <c r="J163" s="45">
        <v>397010.88799999998</v>
      </c>
      <c r="K163" s="45">
        <v>396738.12599999999</v>
      </c>
      <c r="L163" s="45">
        <v>396738.12599999999</v>
      </c>
      <c r="M163" s="45">
        <v>396738.1</v>
      </c>
      <c r="N163" s="45">
        <v>397357.9</v>
      </c>
      <c r="O163" s="45">
        <v>397357.9</v>
      </c>
      <c r="P163" s="45">
        <v>397357.9</v>
      </c>
      <c r="Q163" s="45">
        <v>397357.9</v>
      </c>
      <c r="R163" s="45">
        <v>397219.5</v>
      </c>
      <c r="S163" s="45">
        <v>397219.5</v>
      </c>
      <c r="T163" s="45">
        <v>397219.5</v>
      </c>
      <c r="U163" s="45">
        <v>397219.5</v>
      </c>
      <c r="V163" s="45">
        <v>423714.1</v>
      </c>
      <c r="W163" s="45">
        <v>423714.1</v>
      </c>
      <c r="X163" s="45">
        <v>423714.1</v>
      </c>
      <c r="Y163" s="45">
        <v>423714.1</v>
      </c>
      <c r="Z163" s="45">
        <v>423794.7</v>
      </c>
      <c r="AA163" s="45">
        <v>423794.7</v>
      </c>
      <c r="AB163" s="45">
        <v>423794.7</v>
      </c>
      <c r="AC163" s="45">
        <v>423794.7</v>
      </c>
      <c r="AD163" s="45">
        <v>423758.2</v>
      </c>
      <c r="AE163" s="45">
        <v>423758.2</v>
      </c>
      <c r="AF163" s="45">
        <v>423758.2</v>
      </c>
      <c r="AG163" s="45">
        <v>423758.2</v>
      </c>
      <c r="AH163" s="45">
        <v>423974.2</v>
      </c>
      <c r="AI163" s="45">
        <v>423974.2</v>
      </c>
      <c r="AJ163" s="45">
        <v>423974.2</v>
      </c>
      <c r="AK163" s="45">
        <v>423974.2</v>
      </c>
      <c r="AL163" s="45">
        <v>423695.6</v>
      </c>
      <c r="AM163" s="45">
        <v>423695.6</v>
      </c>
      <c r="AN163" s="45">
        <v>423695.6</v>
      </c>
      <c r="AO163" s="45">
        <v>423695.6</v>
      </c>
      <c r="AP163" s="45">
        <v>451187.20000000001</v>
      </c>
      <c r="AQ163" s="45">
        <v>451187.20000000001</v>
      </c>
      <c r="AR163" s="45">
        <v>451187.20000000001</v>
      </c>
      <c r="AS163" s="45">
        <v>451187.20000000001</v>
      </c>
    </row>
    <row r="164" spans="1:45" x14ac:dyDescent="0.2">
      <c r="A164" s="4" t="s">
        <v>228</v>
      </c>
      <c r="B164" s="45">
        <v>400526.34600000002</v>
      </c>
      <c r="C164" s="45">
        <v>400452.076</v>
      </c>
      <c r="D164" s="45">
        <v>400452.076</v>
      </c>
      <c r="E164" s="45">
        <v>400452.076</v>
      </c>
      <c r="F164" s="45">
        <v>400321.80699999997</v>
      </c>
      <c r="G164" s="45">
        <v>399845.821</v>
      </c>
      <c r="H164" s="45">
        <v>399845.821</v>
      </c>
      <c r="I164" s="45">
        <v>399845.821</v>
      </c>
      <c r="J164" s="45">
        <v>399811.864</v>
      </c>
      <c r="K164" s="45">
        <v>399787.82900000003</v>
      </c>
      <c r="L164" s="45">
        <v>399787.82900000003</v>
      </c>
      <c r="M164" s="45">
        <v>399787.8</v>
      </c>
      <c r="N164" s="45">
        <v>399540</v>
      </c>
      <c r="O164" s="45">
        <v>399540</v>
      </c>
      <c r="P164" s="45">
        <v>399540</v>
      </c>
      <c r="Q164" s="45">
        <v>399540</v>
      </c>
      <c r="R164" s="45">
        <v>399458</v>
      </c>
      <c r="S164" s="45">
        <v>399458</v>
      </c>
      <c r="T164" s="45">
        <v>399458</v>
      </c>
      <c r="U164" s="45">
        <v>399458</v>
      </c>
      <c r="V164" s="45">
        <v>426843.3</v>
      </c>
      <c r="W164" s="45">
        <v>426843.3</v>
      </c>
      <c r="X164" s="45">
        <v>426843.3</v>
      </c>
      <c r="Y164" s="45">
        <v>426843.3</v>
      </c>
      <c r="Z164" s="45">
        <v>426968</v>
      </c>
      <c r="AA164" s="45">
        <v>426968</v>
      </c>
      <c r="AB164" s="45">
        <v>426968</v>
      </c>
      <c r="AC164" s="45">
        <v>426968</v>
      </c>
      <c r="AD164" s="45">
        <v>426925.9</v>
      </c>
      <c r="AE164" s="45">
        <v>426925.9</v>
      </c>
      <c r="AF164" s="45">
        <v>426925.9</v>
      </c>
      <c r="AG164" s="45">
        <v>426925.9</v>
      </c>
      <c r="AH164" s="45">
        <v>426927.9</v>
      </c>
      <c r="AI164" s="45">
        <v>426927.9</v>
      </c>
      <c r="AJ164" s="45">
        <v>426927.9</v>
      </c>
      <c r="AK164" s="45">
        <v>426927.9</v>
      </c>
      <c r="AL164" s="45">
        <v>426834.9</v>
      </c>
      <c r="AM164" s="45">
        <v>426834.9</v>
      </c>
      <c r="AN164" s="45">
        <v>426834.9</v>
      </c>
      <c r="AO164" s="45">
        <v>426834.9</v>
      </c>
      <c r="AP164" s="45">
        <v>454074.8</v>
      </c>
      <c r="AQ164" s="45">
        <v>454074.8</v>
      </c>
      <c r="AR164" s="45">
        <v>454074.8</v>
      </c>
      <c r="AS164" s="45">
        <v>454074.8</v>
      </c>
    </row>
    <row r="165" spans="1:45" x14ac:dyDescent="0.2">
      <c r="A165" s="4" t="s">
        <v>229</v>
      </c>
      <c r="B165" s="45">
        <v>402204.38699999999</v>
      </c>
      <c r="C165" s="45">
        <v>402473.02500000002</v>
      </c>
      <c r="D165" s="45">
        <v>402473.02500000002</v>
      </c>
      <c r="E165" s="45">
        <v>402473.02500000002</v>
      </c>
      <c r="F165" s="45">
        <v>402517.39799999999</v>
      </c>
      <c r="G165" s="45">
        <v>402062.89500000002</v>
      </c>
      <c r="H165" s="45">
        <v>402062.89500000002</v>
      </c>
      <c r="I165" s="45">
        <v>402062.89500000002</v>
      </c>
      <c r="J165" s="45">
        <v>402014.18</v>
      </c>
      <c r="K165" s="45">
        <v>402079.48499999999</v>
      </c>
      <c r="L165" s="45">
        <v>402079.48499999999</v>
      </c>
      <c r="M165" s="45">
        <v>402079.5</v>
      </c>
      <c r="N165" s="45">
        <v>401649.8</v>
      </c>
      <c r="O165" s="45">
        <v>401649.8</v>
      </c>
      <c r="P165" s="45">
        <v>401649.8</v>
      </c>
      <c r="Q165" s="45">
        <v>401649.8</v>
      </c>
      <c r="R165" s="45">
        <v>401611.8</v>
      </c>
      <c r="S165" s="45">
        <v>401611.8</v>
      </c>
      <c r="T165" s="45">
        <v>401611.8</v>
      </c>
      <c r="U165" s="45">
        <v>401611.8</v>
      </c>
      <c r="V165" s="45">
        <v>428909.2</v>
      </c>
      <c r="W165" s="45">
        <v>428909.2</v>
      </c>
      <c r="X165" s="45">
        <v>428909.2</v>
      </c>
      <c r="Y165" s="45">
        <v>428909.2</v>
      </c>
      <c r="Z165" s="45">
        <v>428863.3</v>
      </c>
      <c r="AA165" s="45">
        <v>428863.3</v>
      </c>
      <c r="AB165" s="45">
        <v>428863.3</v>
      </c>
      <c r="AC165" s="45">
        <v>428863.3</v>
      </c>
      <c r="AD165" s="45">
        <v>428966.8</v>
      </c>
      <c r="AE165" s="45">
        <v>428966.8</v>
      </c>
      <c r="AF165" s="45">
        <v>428966.8</v>
      </c>
      <c r="AG165" s="45">
        <v>428966.8</v>
      </c>
      <c r="AH165" s="45">
        <v>428831</v>
      </c>
      <c r="AI165" s="45">
        <v>428831</v>
      </c>
      <c r="AJ165" s="45">
        <v>428831</v>
      </c>
      <c r="AK165" s="45">
        <v>428831</v>
      </c>
      <c r="AL165" s="45">
        <v>428955.6</v>
      </c>
      <c r="AM165" s="45">
        <v>428955.6</v>
      </c>
      <c r="AN165" s="45">
        <v>428955.6</v>
      </c>
      <c r="AO165" s="45">
        <v>428955.6</v>
      </c>
      <c r="AP165" s="45">
        <v>455302.5</v>
      </c>
      <c r="AQ165" s="45">
        <v>455302.5</v>
      </c>
      <c r="AR165" s="45">
        <v>455302.5</v>
      </c>
      <c r="AS165" s="45">
        <v>455302.5</v>
      </c>
    </row>
    <row r="166" spans="1:45" x14ac:dyDescent="0.2">
      <c r="A166" s="4" t="s">
        <v>230</v>
      </c>
      <c r="B166" s="45">
        <v>403935.74099999998</v>
      </c>
      <c r="C166" s="45">
        <v>403908.51799999998</v>
      </c>
      <c r="D166" s="45">
        <v>403908.51799999998</v>
      </c>
      <c r="E166" s="45">
        <v>403908.51799999998</v>
      </c>
      <c r="F166" s="45">
        <v>404201.48499999999</v>
      </c>
      <c r="G166" s="45">
        <v>403932.82299999997</v>
      </c>
      <c r="H166" s="45">
        <v>403932.82299999997</v>
      </c>
      <c r="I166" s="45">
        <v>403932.82299999997</v>
      </c>
      <c r="J166" s="45">
        <v>404023.14199999999</v>
      </c>
      <c r="K166" s="45">
        <v>404192.52899999998</v>
      </c>
      <c r="L166" s="45">
        <v>404192.52899999998</v>
      </c>
      <c r="M166" s="45">
        <v>404192.5</v>
      </c>
      <c r="N166" s="45">
        <v>404228.7</v>
      </c>
      <c r="O166" s="45">
        <v>404228.7</v>
      </c>
      <c r="P166" s="45">
        <v>404228.7</v>
      </c>
      <c r="Q166" s="45">
        <v>404228.7</v>
      </c>
      <c r="R166" s="45">
        <v>404498.5</v>
      </c>
      <c r="S166" s="45">
        <v>404498.5</v>
      </c>
      <c r="T166" s="45">
        <v>404498.5</v>
      </c>
      <c r="U166" s="45">
        <v>404498.5</v>
      </c>
      <c r="V166" s="45">
        <v>431459.7</v>
      </c>
      <c r="W166" s="45">
        <v>431459.7</v>
      </c>
      <c r="X166" s="45">
        <v>431459.7</v>
      </c>
      <c r="Y166" s="45">
        <v>431459.7</v>
      </c>
      <c r="Z166" s="45">
        <v>431312.9</v>
      </c>
      <c r="AA166" s="45">
        <v>431312.9</v>
      </c>
      <c r="AB166" s="45">
        <v>431312.9</v>
      </c>
      <c r="AC166" s="45">
        <v>431312.9</v>
      </c>
      <c r="AD166" s="45">
        <v>431320.7</v>
      </c>
      <c r="AE166" s="45">
        <v>431320.7</v>
      </c>
      <c r="AF166" s="45">
        <v>431320.7</v>
      </c>
      <c r="AG166" s="45">
        <v>431320.7</v>
      </c>
      <c r="AH166" s="45">
        <v>431128.6</v>
      </c>
      <c r="AI166" s="45">
        <v>431128.6</v>
      </c>
      <c r="AJ166" s="45">
        <v>431128.6</v>
      </c>
      <c r="AK166" s="45">
        <v>431128.6</v>
      </c>
      <c r="AL166" s="45">
        <v>431159.5</v>
      </c>
      <c r="AM166" s="45">
        <v>431159.5</v>
      </c>
      <c r="AN166" s="45">
        <v>431159.5</v>
      </c>
      <c r="AO166" s="45">
        <v>431159.5</v>
      </c>
      <c r="AP166" s="45">
        <v>459281.7</v>
      </c>
      <c r="AQ166" s="45">
        <v>459281.7</v>
      </c>
      <c r="AR166" s="45">
        <v>459281.7</v>
      </c>
      <c r="AS166" s="45">
        <v>459281.7</v>
      </c>
    </row>
    <row r="167" spans="1:45" x14ac:dyDescent="0.2">
      <c r="A167" s="4" t="s">
        <v>231</v>
      </c>
      <c r="B167" s="45">
        <v>404922.63699999999</v>
      </c>
      <c r="C167" s="45">
        <v>405604.57799999998</v>
      </c>
      <c r="D167" s="45">
        <v>405425.25900000002</v>
      </c>
      <c r="E167" s="45">
        <v>405469.88099999999</v>
      </c>
      <c r="F167" s="45">
        <v>405496.94900000002</v>
      </c>
      <c r="G167" s="45">
        <v>405111.98200000002</v>
      </c>
      <c r="H167" s="45">
        <v>405111.98200000002</v>
      </c>
      <c r="I167" s="45">
        <v>405111.98200000002</v>
      </c>
      <c r="J167" s="45">
        <v>404906.15500000003</v>
      </c>
      <c r="K167" s="45">
        <v>405171.29499999998</v>
      </c>
      <c r="L167" s="45">
        <v>405171.29499999998</v>
      </c>
      <c r="M167" s="45">
        <v>405171.3</v>
      </c>
      <c r="N167" s="45">
        <v>405479.1</v>
      </c>
      <c r="O167" s="45">
        <v>405479.1</v>
      </c>
      <c r="P167" s="45">
        <v>405479.1</v>
      </c>
      <c r="Q167" s="45">
        <v>405479.1</v>
      </c>
      <c r="R167" s="45">
        <v>405298.1</v>
      </c>
      <c r="S167" s="45">
        <v>405298.1</v>
      </c>
      <c r="T167" s="45">
        <v>405298.1</v>
      </c>
      <c r="U167" s="45">
        <v>405298.1</v>
      </c>
      <c r="V167" s="45">
        <v>432930.6</v>
      </c>
      <c r="W167" s="45">
        <v>432930.6</v>
      </c>
      <c r="X167" s="45">
        <v>432930.6</v>
      </c>
      <c r="Y167" s="45">
        <v>432930.6</v>
      </c>
      <c r="Z167" s="45">
        <v>432950</v>
      </c>
      <c r="AA167" s="45">
        <v>432950</v>
      </c>
      <c r="AB167" s="45">
        <v>432950</v>
      </c>
      <c r="AC167" s="45">
        <v>432950</v>
      </c>
      <c r="AD167" s="45">
        <v>433376.9</v>
      </c>
      <c r="AE167" s="45">
        <v>433376.9</v>
      </c>
      <c r="AF167" s="45">
        <v>433376.9</v>
      </c>
      <c r="AG167" s="45">
        <v>433376.9</v>
      </c>
      <c r="AH167" s="45">
        <v>433363.4</v>
      </c>
      <c r="AI167" s="45">
        <v>433363.4</v>
      </c>
      <c r="AJ167" s="45">
        <v>433363.4</v>
      </c>
      <c r="AK167" s="45">
        <v>433363.4</v>
      </c>
      <c r="AL167" s="45">
        <v>433309.6</v>
      </c>
      <c r="AM167" s="45">
        <v>433309.6</v>
      </c>
      <c r="AN167" s="45">
        <v>433309.6</v>
      </c>
      <c r="AO167" s="45">
        <v>433309.6</v>
      </c>
      <c r="AP167" s="45">
        <v>461593.3</v>
      </c>
      <c r="AQ167" s="45">
        <v>461593.3</v>
      </c>
      <c r="AR167" s="45">
        <v>461593.3</v>
      </c>
      <c r="AS167" s="45">
        <v>461593.3</v>
      </c>
    </row>
    <row r="168" spans="1:45" x14ac:dyDescent="0.2">
      <c r="A168" s="4" t="s">
        <v>232</v>
      </c>
      <c r="B168" s="45">
        <v>405589.26400000002</v>
      </c>
      <c r="C168" s="45">
        <v>406254.03899999999</v>
      </c>
      <c r="D168" s="45">
        <v>406218.20400000003</v>
      </c>
      <c r="E168" s="45">
        <v>406108.04100000003</v>
      </c>
      <c r="F168" s="45">
        <v>406147.77</v>
      </c>
      <c r="G168" s="45">
        <v>405921.34399999998</v>
      </c>
      <c r="H168" s="45">
        <v>405921.34399999998</v>
      </c>
      <c r="I168" s="45">
        <v>405921.34399999998</v>
      </c>
      <c r="J168" s="45">
        <v>405857.06699999998</v>
      </c>
      <c r="K168" s="45">
        <v>405684.93099999998</v>
      </c>
      <c r="L168" s="45">
        <v>405684.93099999998</v>
      </c>
      <c r="M168" s="45">
        <v>405684.9</v>
      </c>
      <c r="N168" s="45">
        <v>405738.7</v>
      </c>
      <c r="O168" s="45">
        <v>405738.7</v>
      </c>
      <c r="P168" s="45">
        <v>405738.7</v>
      </c>
      <c r="Q168" s="45">
        <v>405738.7</v>
      </c>
      <c r="R168" s="45">
        <v>405734.40000000002</v>
      </c>
      <c r="S168" s="45">
        <v>405734.40000000002</v>
      </c>
      <c r="T168" s="45">
        <v>405734.40000000002</v>
      </c>
      <c r="U168" s="45">
        <v>405734.40000000002</v>
      </c>
      <c r="V168" s="45">
        <v>433448.7</v>
      </c>
      <c r="W168" s="45">
        <v>433448.7</v>
      </c>
      <c r="X168" s="45">
        <v>433448.7</v>
      </c>
      <c r="Y168" s="45">
        <v>433448.7</v>
      </c>
      <c r="Z168" s="45">
        <v>433441.3</v>
      </c>
      <c r="AA168" s="45">
        <v>433441.3</v>
      </c>
      <c r="AB168" s="45">
        <v>433441.3</v>
      </c>
      <c r="AC168" s="45">
        <v>433441.3</v>
      </c>
      <c r="AD168" s="45">
        <v>433571.8</v>
      </c>
      <c r="AE168" s="45">
        <v>433571.8</v>
      </c>
      <c r="AF168" s="45">
        <v>433571.8</v>
      </c>
      <c r="AG168" s="45">
        <v>433571.8</v>
      </c>
      <c r="AH168" s="45">
        <v>433558.1</v>
      </c>
      <c r="AI168" s="45">
        <v>433558.1</v>
      </c>
      <c r="AJ168" s="45">
        <v>433558.1</v>
      </c>
      <c r="AK168" s="45">
        <v>433558.1</v>
      </c>
      <c r="AL168" s="45">
        <v>433669.9</v>
      </c>
      <c r="AM168" s="45">
        <v>433669.9</v>
      </c>
      <c r="AN168" s="45">
        <v>433669.9</v>
      </c>
      <c r="AO168" s="45">
        <v>433669.9</v>
      </c>
      <c r="AP168" s="45">
        <v>460723.1</v>
      </c>
      <c r="AQ168" s="45">
        <v>460723.1</v>
      </c>
      <c r="AR168" s="45">
        <v>460723.1</v>
      </c>
      <c r="AS168" s="45">
        <v>460723.1</v>
      </c>
    </row>
    <row r="169" spans="1:45" x14ac:dyDescent="0.2">
      <c r="A169" s="4" t="s">
        <v>233</v>
      </c>
      <c r="B169" s="45">
        <v>404274.467</v>
      </c>
      <c r="C169" s="45">
        <v>404016.68800000002</v>
      </c>
      <c r="D169" s="45">
        <v>404077.62300000002</v>
      </c>
      <c r="E169" s="45">
        <v>404092.91700000002</v>
      </c>
      <c r="F169" s="45">
        <v>404013.05499999999</v>
      </c>
      <c r="G169" s="45">
        <v>403882.94699999999</v>
      </c>
      <c r="H169" s="45">
        <v>403882.94699999999</v>
      </c>
      <c r="I169" s="45">
        <v>403882.94699999999</v>
      </c>
      <c r="J169" s="45">
        <v>403890.85800000001</v>
      </c>
      <c r="K169" s="45">
        <v>403783.84299999999</v>
      </c>
      <c r="L169" s="45">
        <v>403783.84299999999</v>
      </c>
      <c r="M169" s="45">
        <v>403783.8</v>
      </c>
      <c r="N169" s="45">
        <v>403367</v>
      </c>
      <c r="O169" s="45">
        <v>403367</v>
      </c>
      <c r="P169" s="45">
        <v>403367</v>
      </c>
      <c r="Q169" s="45">
        <v>403367</v>
      </c>
      <c r="R169" s="45">
        <v>403383.1</v>
      </c>
      <c r="S169" s="45">
        <v>403383.1</v>
      </c>
      <c r="T169" s="45">
        <v>403383.1</v>
      </c>
      <c r="U169" s="45">
        <v>403383.1</v>
      </c>
      <c r="V169" s="45">
        <v>431410.4</v>
      </c>
      <c r="W169" s="45">
        <v>431410.4</v>
      </c>
      <c r="X169" s="45">
        <v>431410.4</v>
      </c>
      <c r="Y169" s="45">
        <v>431410.4</v>
      </c>
      <c r="Z169" s="45">
        <v>431400.5</v>
      </c>
      <c r="AA169" s="45">
        <v>431400.5</v>
      </c>
      <c r="AB169" s="45">
        <v>431400.5</v>
      </c>
      <c r="AC169" s="45">
        <v>431400.5</v>
      </c>
      <c r="AD169" s="45">
        <v>431305.7</v>
      </c>
      <c r="AE169" s="45">
        <v>431305.7</v>
      </c>
      <c r="AF169" s="45">
        <v>431305.7</v>
      </c>
      <c r="AG169" s="45">
        <v>431305.7</v>
      </c>
      <c r="AH169" s="45">
        <v>431441.4</v>
      </c>
      <c r="AI169" s="45">
        <v>431441.4</v>
      </c>
      <c r="AJ169" s="45">
        <v>431441.4</v>
      </c>
      <c r="AK169" s="45">
        <v>431441.4</v>
      </c>
      <c r="AL169" s="45">
        <v>431458.4</v>
      </c>
      <c r="AM169" s="45">
        <v>431458.4</v>
      </c>
      <c r="AN169" s="45">
        <v>431458.4</v>
      </c>
      <c r="AO169" s="45">
        <v>431458.4</v>
      </c>
      <c r="AP169" s="45">
        <v>458746.1</v>
      </c>
      <c r="AQ169" s="45">
        <v>458746.1</v>
      </c>
      <c r="AR169" s="45">
        <v>458746.1</v>
      </c>
      <c r="AS169" s="45">
        <v>458746.1</v>
      </c>
    </row>
    <row r="170" spans="1:45" x14ac:dyDescent="0.2">
      <c r="A170" s="4" t="s">
        <v>234</v>
      </c>
      <c r="B170" s="45">
        <v>400915.95699999999</v>
      </c>
      <c r="C170" s="45">
        <v>399761.462</v>
      </c>
      <c r="D170" s="45">
        <v>399939.31599999999</v>
      </c>
      <c r="E170" s="45">
        <v>399989.57400000002</v>
      </c>
      <c r="F170" s="45">
        <v>399990.14500000002</v>
      </c>
      <c r="G170" s="45">
        <v>399498.04200000002</v>
      </c>
      <c r="H170" s="45">
        <v>399498.04200000002</v>
      </c>
      <c r="I170" s="45">
        <v>399498.04200000002</v>
      </c>
      <c r="J170" s="45">
        <v>399696.63199999998</v>
      </c>
      <c r="K170" s="45">
        <v>399674.41</v>
      </c>
      <c r="L170" s="45">
        <v>399674.41</v>
      </c>
      <c r="M170" s="45">
        <v>399674.4</v>
      </c>
      <c r="N170" s="45">
        <v>399732.2</v>
      </c>
      <c r="O170" s="45">
        <v>399732.2</v>
      </c>
      <c r="P170" s="45">
        <v>399732.2</v>
      </c>
      <c r="Q170" s="45">
        <v>399732.2</v>
      </c>
      <c r="R170" s="45">
        <v>399847.6</v>
      </c>
      <c r="S170" s="45">
        <v>399847.6</v>
      </c>
      <c r="T170" s="45">
        <v>399847.6</v>
      </c>
      <c r="U170" s="45">
        <v>399847.6</v>
      </c>
      <c r="V170" s="45">
        <v>427599.1</v>
      </c>
      <c r="W170" s="45">
        <v>427599.1</v>
      </c>
      <c r="X170" s="45">
        <v>427599.1</v>
      </c>
      <c r="Y170" s="45">
        <v>427599.1</v>
      </c>
      <c r="Z170" s="45">
        <v>427585</v>
      </c>
      <c r="AA170" s="45">
        <v>427585</v>
      </c>
      <c r="AB170" s="45">
        <v>427585</v>
      </c>
      <c r="AC170" s="45">
        <v>427585</v>
      </c>
      <c r="AD170" s="45">
        <v>427216</v>
      </c>
      <c r="AE170" s="45">
        <v>427216</v>
      </c>
      <c r="AF170" s="45">
        <v>427216</v>
      </c>
      <c r="AG170" s="45">
        <v>427216</v>
      </c>
      <c r="AH170" s="45">
        <v>427270</v>
      </c>
      <c r="AI170" s="45">
        <v>427270</v>
      </c>
      <c r="AJ170" s="45">
        <v>427270</v>
      </c>
      <c r="AK170" s="45">
        <v>427270</v>
      </c>
      <c r="AL170" s="45">
        <v>427180.5</v>
      </c>
      <c r="AM170" s="45">
        <v>427180.5</v>
      </c>
      <c r="AN170" s="45">
        <v>427180.5</v>
      </c>
      <c r="AO170" s="45">
        <v>427180.5</v>
      </c>
      <c r="AP170" s="45">
        <v>454350.4</v>
      </c>
      <c r="AQ170" s="45">
        <v>454350.4</v>
      </c>
      <c r="AR170" s="45">
        <v>454350.4</v>
      </c>
      <c r="AS170" s="45">
        <v>454350.4</v>
      </c>
    </row>
    <row r="171" spans="1:45" x14ac:dyDescent="0.2">
      <c r="A171" s="4" t="s">
        <v>235</v>
      </c>
      <c r="B171" s="45">
        <v>397415.85200000001</v>
      </c>
      <c r="C171" s="45">
        <v>396110.37800000003</v>
      </c>
      <c r="D171" s="45">
        <v>395918.96799999999</v>
      </c>
      <c r="E171" s="45">
        <v>395996.90899999999</v>
      </c>
      <c r="F171" s="45">
        <v>395904.84899999999</v>
      </c>
      <c r="G171" s="45">
        <v>395708.92800000001</v>
      </c>
      <c r="H171" s="45">
        <v>395777.13500000001</v>
      </c>
      <c r="I171" s="45">
        <v>395814.41100000002</v>
      </c>
      <c r="J171" s="45">
        <v>395830.05099999998</v>
      </c>
      <c r="K171" s="45">
        <v>395952.91600000003</v>
      </c>
      <c r="L171" s="45">
        <v>395952.91600000003</v>
      </c>
      <c r="M171" s="45">
        <v>395952.9</v>
      </c>
      <c r="N171" s="45">
        <v>396223.8</v>
      </c>
      <c r="O171" s="45">
        <v>396223.8</v>
      </c>
      <c r="P171" s="45">
        <v>396223.8</v>
      </c>
      <c r="Q171" s="45">
        <v>396223.8</v>
      </c>
      <c r="R171" s="45">
        <v>396283.8</v>
      </c>
      <c r="S171" s="45">
        <v>396283.8</v>
      </c>
      <c r="T171" s="45">
        <v>396283.8</v>
      </c>
      <c r="U171" s="45">
        <v>396283.8</v>
      </c>
      <c r="V171" s="45">
        <v>422779.3</v>
      </c>
      <c r="W171" s="45">
        <v>422779.3</v>
      </c>
      <c r="X171" s="45">
        <v>422779.3</v>
      </c>
      <c r="Y171" s="45">
        <v>422779.3</v>
      </c>
      <c r="Z171" s="45">
        <v>422545.7</v>
      </c>
      <c r="AA171" s="45">
        <v>422545.7</v>
      </c>
      <c r="AB171" s="45">
        <v>422545.7</v>
      </c>
      <c r="AC171" s="45">
        <v>422545.7</v>
      </c>
      <c r="AD171" s="45">
        <v>422577.7</v>
      </c>
      <c r="AE171" s="45">
        <v>422577.7</v>
      </c>
      <c r="AF171" s="45">
        <v>422577.7</v>
      </c>
      <c r="AG171" s="45">
        <v>422577.7</v>
      </c>
      <c r="AH171" s="45">
        <v>422419.9</v>
      </c>
      <c r="AI171" s="45">
        <v>422419.9</v>
      </c>
      <c r="AJ171" s="45">
        <v>422419.9</v>
      </c>
      <c r="AK171" s="45">
        <v>422419.9</v>
      </c>
      <c r="AL171" s="45">
        <v>422347.2</v>
      </c>
      <c r="AM171" s="45">
        <v>422347.2</v>
      </c>
      <c r="AN171" s="45">
        <v>422347.2</v>
      </c>
      <c r="AO171" s="45">
        <v>422347.2</v>
      </c>
      <c r="AP171" s="45">
        <v>449162.1</v>
      </c>
      <c r="AQ171" s="45">
        <v>449162.1</v>
      </c>
      <c r="AR171" s="45">
        <v>449162.1</v>
      </c>
      <c r="AS171" s="45">
        <v>449162.1</v>
      </c>
    </row>
    <row r="172" spans="1:45" x14ac:dyDescent="0.2">
      <c r="A172" s="4" t="s">
        <v>236</v>
      </c>
      <c r="B172" s="45">
        <v>395763.34700000001</v>
      </c>
      <c r="C172" s="45">
        <v>393569.21</v>
      </c>
      <c r="D172" s="45">
        <v>393482.02299999999</v>
      </c>
      <c r="E172" s="45">
        <v>393327.821</v>
      </c>
      <c r="F172" s="45">
        <v>393192.99599999998</v>
      </c>
      <c r="G172" s="45">
        <v>392921.09499999997</v>
      </c>
      <c r="H172" s="45">
        <v>392822</v>
      </c>
      <c r="I172" s="45">
        <v>392775.40500000003</v>
      </c>
      <c r="J172" s="45">
        <v>392914.54800000001</v>
      </c>
      <c r="K172" s="45">
        <v>392824.71299999999</v>
      </c>
      <c r="L172" s="45">
        <v>392824.71299999999</v>
      </c>
      <c r="M172" s="45">
        <v>392824.7</v>
      </c>
      <c r="N172" s="45">
        <v>392591.3</v>
      </c>
      <c r="O172" s="45">
        <v>392591.3</v>
      </c>
      <c r="P172" s="45">
        <v>392591.3</v>
      </c>
      <c r="Q172" s="45">
        <v>392591.3</v>
      </c>
      <c r="R172" s="45">
        <v>392596.7</v>
      </c>
      <c r="S172" s="45">
        <v>392596.7</v>
      </c>
      <c r="T172" s="45">
        <v>392596.7</v>
      </c>
      <c r="U172" s="45">
        <v>392596.7</v>
      </c>
      <c r="V172" s="45">
        <v>419508.8</v>
      </c>
      <c r="W172" s="45">
        <v>419508.8</v>
      </c>
      <c r="X172" s="45">
        <v>419508.8</v>
      </c>
      <c r="Y172" s="45">
        <v>419508.8</v>
      </c>
      <c r="Z172" s="45">
        <v>419530.8</v>
      </c>
      <c r="AA172" s="45">
        <v>419530.8</v>
      </c>
      <c r="AB172" s="45">
        <v>419530.8</v>
      </c>
      <c r="AC172" s="45">
        <v>419530.8</v>
      </c>
      <c r="AD172" s="45">
        <v>419457.2</v>
      </c>
      <c r="AE172" s="45">
        <v>419457.2</v>
      </c>
      <c r="AF172" s="45">
        <v>419457.2</v>
      </c>
      <c r="AG172" s="45">
        <v>419457.2</v>
      </c>
      <c r="AH172" s="45">
        <v>419512.5</v>
      </c>
      <c r="AI172" s="45">
        <v>419512.5</v>
      </c>
      <c r="AJ172" s="45">
        <v>419512.5</v>
      </c>
      <c r="AK172" s="45">
        <v>419512.5</v>
      </c>
      <c r="AL172" s="45">
        <v>419511.4</v>
      </c>
      <c r="AM172" s="45">
        <v>419511.4</v>
      </c>
      <c r="AN172" s="45">
        <v>419511.4</v>
      </c>
      <c r="AO172" s="45">
        <v>419511.4</v>
      </c>
      <c r="AP172" s="45">
        <v>445756.5</v>
      </c>
      <c r="AQ172" s="45">
        <v>445756.5</v>
      </c>
      <c r="AR172" s="45">
        <v>445756.5</v>
      </c>
      <c r="AS172" s="45">
        <v>445756.5</v>
      </c>
    </row>
    <row r="173" spans="1:45" x14ac:dyDescent="0.2">
      <c r="A173" s="4" t="s">
        <v>237</v>
      </c>
      <c r="B173" s="45">
        <v>394136.98700000002</v>
      </c>
      <c r="C173" s="45">
        <v>391399.96399999998</v>
      </c>
      <c r="D173" s="45">
        <v>391377.26400000002</v>
      </c>
      <c r="E173" s="45">
        <v>391380.429</v>
      </c>
      <c r="F173" s="45">
        <v>391078.05300000001</v>
      </c>
      <c r="G173" s="45">
        <v>390935.52399999998</v>
      </c>
      <c r="H173" s="45">
        <v>390931.53600000002</v>
      </c>
      <c r="I173" s="45">
        <v>390884.15</v>
      </c>
      <c r="J173" s="45">
        <v>391038.04300000001</v>
      </c>
      <c r="K173" s="45">
        <v>390978.38900000002</v>
      </c>
      <c r="L173" s="45">
        <v>390978.38900000002</v>
      </c>
      <c r="M173" s="45">
        <v>390978.4</v>
      </c>
      <c r="N173" s="45">
        <v>390822.7</v>
      </c>
      <c r="O173" s="45">
        <v>390822.7</v>
      </c>
      <c r="P173" s="45">
        <v>390822.7</v>
      </c>
      <c r="Q173" s="45">
        <v>390822.7</v>
      </c>
      <c r="R173" s="45">
        <v>390735.9</v>
      </c>
      <c r="S173" s="45">
        <v>390735.9</v>
      </c>
      <c r="T173" s="45">
        <v>390735.9</v>
      </c>
      <c r="U173" s="45">
        <v>390735.9</v>
      </c>
      <c r="V173" s="45">
        <v>417210.6</v>
      </c>
      <c r="W173" s="45">
        <v>417210.6</v>
      </c>
      <c r="X173" s="45">
        <v>417210.6</v>
      </c>
      <c r="Y173" s="45">
        <v>417210.6</v>
      </c>
      <c r="Z173" s="45">
        <v>417260</v>
      </c>
      <c r="AA173" s="45">
        <v>417260</v>
      </c>
      <c r="AB173" s="45">
        <v>417260</v>
      </c>
      <c r="AC173" s="45">
        <v>417260</v>
      </c>
      <c r="AD173" s="45">
        <v>417283.8</v>
      </c>
      <c r="AE173" s="45">
        <v>417283.8</v>
      </c>
      <c r="AF173" s="45">
        <v>417283.8</v>
      </c>
      <c r="AG173" s="45">
        <v>417283.8</v>
      </c>
      <c r="AH173" s="45">
        <v>417365.2</v>
      </c>
      <c r="AI173" s="45">
        <v>417365.2</v>
      </c>
      <c r="AJ173" s="45">
        <v>417365.2</v>
      </c>
      <c r="AK173" s="45">
        <v>417365.2</v>
      </c>
      <c r="AL173" s="45">
        <v>417380.6</v>
      </c>
      <c r="AM173" s="45">
        <v>417380.6</v>
      </c>
      <c r="AN173" s="45">
        <v>417380.6</v>
      </c>
      <c r="AO173" s="45">
        <v>417380.6</v>
      </c>
      <c r="AP173" s="45">
        <v>442682.4</v>
      </c>
      <c r="AQ173" s="45">
        <v>442682.4</v>
      </c>
      <c r="AR173" s="45">
        <v>442682.4</v>
      </c>
      <c r="AS173" s="45">
        <v>442682.4</v>
      </c>
    </row>
    <row r="174" spans="1:45" x14ac:dyDescent="0.2">
      <c r="A174" s="4" t="s">
        <v>238</v>
      </c>
      <c r="B174" s="45">
        <v>391033.76899999997</v>
      </c>
      <c r="C174" s="45">
        <v>389020.21299999999</v>
      </c>
      <c r="D174" s="45">
        <v>389336.11800000002</v>
      </c>
      <c r="E174" s="45">
        <v>389409.23499999999</v>
      </c>
      <c r="F174" s="45">
        <v>389182.86099999998</v>
      </c>
      <c r="G174" s="45">
        <v>388596.07699999999</v>
      </c>
      <c r="H174" s="45">
        <v>388630.95199999999</v>
      </c>
      <c r="I174" s="45">
        <v>388687.658</v>
      </c>
      <c r="J174" s="45">
        <v>388522.87300000002</v>
      </c>
      <c r="K174" s="45">
        <v>388491.29300000001</v>
      </c>
      <c r="L174" s="45">
        <v>388491.29300000001</v>
      </c>
      <c r="M174" s="45">
        <v>388491.3</v>
      </c>
      <c r="N174" s="45">
        <v>388643.3</v>
      </c>
      <c r="O174" s="45">
        <v>388643.3</v>
      </c>
      <c r="P174" s="45">
        <v>388643.3</v>
      </c>
      <c r="Q174" s="45">
        <v>388643.3</v>
      </c>
      <c r="R174" s="45">
        <v>388598.4</v>
      </c>
      <c r="S174" s="45">
        <v>388598.4</v>
      </c>
      <c r="T174" s="45">
        <v>388598.4</v>
      </c>
      <c r="U174" s="45">
        <v>388598.4</v>
      </c>
      <c r="V174" s="45">
        <v>413872.1</v>
      </c>
      <c r="W174" s="45">
        <v>413872.1</v>
      </c>
      <c r="X174" s="45">
        <v>413872.1</v>
      </c>
      <c r="Y174" s="45">
        <v>413872.1</v>
      </c>
      <c r="Z174" s="45">
        <v>414067.9</v>
      </c>
      <c r="AA174" s="45">
        <v>414067.9</v>
      </c>
      <c r="AB174" s="45">
        <v>414067.9</v>
      </c>
      <c r="AC174" s="45">
        <v>414067.9</v>
      </c>
      <c r="AD174" s="45">
        <v>414145.5</v>
      </c>
      <c r="AE174" s="45">
        <v>414145.5</v>
      </c>
      <c r="AF174" s="45">
        <v>414145.5</v>
      </c>
      <c r="AG174" s="45">
        <v>414145.5</v>
      </c>
      <c r="AH174" s="45">
        <v>414272.2</v>
      </c>
      <c r="AI174" s="45">
        <v>414272.2</v>
      </c>
      <c r="AJ174" s="45">
        <v>414272.2</v>
      </c>
      <c r="AK174" s="45">
        <v>414272.2</v>
      </c>
      <c r="AL174" s="45">
        <v>414303.6</v>
      </c>
      <c r="AM174" s="45">
        <v>414303.6</v>
      </c>
      <c r="AN174" s="45">
        <v>414303.6</v>
      </c>
      <c r="AO174" s="45">
        <v>414303.6</v>
      </c>
      <c r="AP174" s="45">
        <v>439552.9</v>
      </c>
      <c r="AQ174" s="45">
        <v>439552.9</v>
      </c>
      <c r="AR174" s="45">
        <v>439552.9</v>
      </c>
      <c r="AS174" s="45">
        <v>439552.9</v>
      </c>
    </row>
    <row r="175" spans="1:45" x14ac:dyDescent="0.2">
      <c r="A175" s="4" t="s">
        <v>239</v>
      </c>
      <c r="B175" s="45">
        <v>387640.55599999998</v>
      </c>
      <c r="C175" s="45">
        <v>385899.299</v>
      </c>
      <c r="D175" s="45">
        <v>385800.05499999999</v>
      </c>
      <c r="E175" s="45">
        <v>385960.89</v>
      </c>
      <c r="F175" s="45">
        <v>385939.05900000001</v>
      </c>
      <c r="G175" s="45">
        <v>385315.21500000003</v>
      </c>
      <c r="H175" s="45">
        <v>385079.37</v>
      </c>
      <c r="I175" s="45">
        <v>385123.62699999998</v>
      </c>
      <c r="J175" s="45">
        <v>384690.10700000002</v>
      </c>
      <c r="K175" s="45">
        <v>384446.31</v>
      </c>
      <c r="L175" s="45">
        <v>384399.48800000001</v>
      </c>
      <c r="M175" s="45">
        <v>384403.6</v>
      </c>
      <c r="N175" s="45">
        <v>384655.4</v>
      </c>
      <c r="O175" s="45">
        <v>384655.4</v>
      </c>
      <c r="P175" s="45">
        <v>384655.4</v>
      </c>
      <c r="Q175" s="45">
        <v>384655.4</v>
      </c>
      <c r="R175" s="45">
        <v>384637.3</v>
      </c>
      <c r="S175" s="45">
        <v>384637.3</v>
      </c>
      <c r="T175" s="45">
        <v>384637.3</v>
      </c>
      <c r="U175" s="45">
        <v>384637.3</v>
      </c>
      <c r="V175" s="45">
        <v>410368.4</v>
      </c>
      <c r="W175" s="45">
        <v>410368.4</v>
      </c>
      <c r="X175" s="45">
        <v>410368.4</v>
      </c>
      <c r="Y175" s="45">
        <v>410368.4</v>
      </c>
      <c r="Z175" s="45">
        <v>410323.9</v>
      </c>
      <c r="AA175" s="45">
        <v>410323.9</v>
      </c>
      <c r="AB175" s="45">
        <v>410323.9</v>
      </c>
      <c r="AC175" s="45">
        <v>410323.9</v>
      </c>
      <c r="AD175" s="45">
        <v>410282.5</v>
      </c>
      <c r="AE175" s="45">
        <v>410282.5</v>
      </c>
      <c r="AF175" s="45">
        <v>410282.5</v>
      </c>
      <c r="AG175" s="45">
        <v>410282.5</v>
      </c>
      <c r="AH175" s="45">
        <v>410248.5</v>
      </c>
      <c r="AI175" s="45">
        <v>410248.5</v>
      </c>
      <c r="AJ175" s="45">
        <v>410248.5</v>
      </c>
      <c r="AK175" s="45">
        <v>410248.5</v>
      </c>
      <c r="AL175" s="45">
        <v>410076</v>
      </c>
      <c r="AM175" s="45">
        <v>410076</v>
      </c>
      <c r="AN175" s="45">
        <v>410076</v>
      </c>
      <c r="AO175" s="45">
        <v>410076</v>
      </c>
      <c r="AP175" s="45">
        <v>435578.3</v>
      </c>
      <c r="AQ175" s="45">
        <v>435578.3</v>
      </c>
      <c r="AR175" s="45">
        <v>435578.3</v>
      </c>
      <c r="AS175" s="45">
        <v>435578.3</v>
      </c>
    </row>
    <row r="176" spans="1:45" x14ac:dyDescent="0.2">
      <c r="A176" s="4" t="s">
        <v>240</v>
      </c>
      <c r="B176" s="45">
        <v>386883.92700000003</v>
      </c>
      <c r="C176" s="45">
        <v>385652.136</v>
      </c>
      <c r="D176" s="45">
        <v>385715.35100000002</v>
      </c>
      <c r="E176" s="45">
        <v>385492.51500000001</v>
      </c>
      <c r="F176" s="45">
        <v>385261.35200000001</v>
      </c>
      <c r="G176" s="45">
        <v>384871.69699999999</v>
      </c>
      <c r="H176" s="45">
        <v>384872.16399999999</v>
      </c>
      <c r="I176" s="45">
        <v>384788.39500000002</v>
      </c>
      <c r="J176" s="45">
        <v>384732.86200000002</v>
      </c>
      <c r="K176" s="45">
        <v>384877.65500000003</v>
      </c>
      <c r="L176" s="45">
        <v>384829.527</v>
      </c>
      <c r="M176" s="45">
        <v>384775.6</v>
      </c>
      <c r="N176" s="45">
        <v>384689.2</v>
      </c>
      <c r="O176" s="45">
        <v>384689.2</v>
      </c>
      <c r="P176" s="45">
        <v>384689.2</v>
      </c>
      <c r="Q176" s="45">
        <v>384689.2</v>
      </c>
      <c r="R176" s="45">
        <v>384622.7</v>
      </c>
      <c r="S176" s="45">
        <v>384622.7</v>
      </c>
      <c r="T176" s="45">
        <v>384622.7</v>
      </c>
      <c r="U176" s="45">
        <v>384622.7</v>
      </c>
      <c r="V176" s="45">
        <v>410392</v>
      </c>
      <c r="W176" s="45">
        <v>410392</v>
      </c>
      <c r="X176" s="45">
        <v>410392</v>
      </c>
      <c r="Y176" s="45">
        <v>410392</v>
      </c>
      <c r="Z176" s="45">
        <v>410319.2</v>
      </c>
      <c r="AA176" s="45">
        <v>410319.2</v>
      </c>
      <c r="AB176" s="45">
        <v>410319.2</v>
      </c>
      <c r="AC176" s="45">
        <v>410319.2</v>
      </c>
      <c r="AD176" s="45">
        <v>410362.8</v>
      </c>
      <c r="AE176" s="45">
        <v>410362.8</v>
      </c>
      <c r="AF176" s="45">
        <v>410362.8</v>
      </c>
      <c r="AG176" s="45">
        <v>410362.8</v>
      </c>
      <c r="AH176" s="45">
        <v>410403.2</v>
      </c>
      <c r="AI176" s="45">
        <v>410403.2</v>
      </c>
      <c r="AJ176" s="45">
        <v>410403.2</v>
      </c>
      <c r="AK176" s="45">
        <v>410403.2</v>
      </c>
      <c r="AL176" s="45">
        <v>410390.8</v>
      </c>
      <c r="AM176" s="45">
        <v>410390.8</v>
      </c>
      <c r="AN176" s="45">
        <v>410390.8</v>
      </c>
      <c r="AO176" s="45">
        <v>410390.8</v>
      </c>
      <c r="AP176" s="45">
        <v>435554.5</v>
      </c>
      <c r="AQ176" s="45">
        <v>435554.5</v>
      </c>
      <c r="AR176" s="45">
        <v>435554.5</v>
      </c>
      <c r="AS176" s="45">
        <v>435554.5</v>
      </c>
    </row>
    <row r="177" spans="1:45" x14ac:dyDescent="0.2">
      <c r="A177" s="4" t="s">
        <v>241</v>
      </c>
      <c r="B177" s="45">
        <v>386931.05099999998</v>
      </c>
      <c r="C177" s="45">
        <v>385976.54</v>
      </c>
      <c r="D177" s="45">
        <v>386010.391</v>
      </c>
      <c r="E177" s="45">
        <v>385965.87400000001</v>
      </c>
      <c r="F177" s="45">
        <v>385414.87800000003</v>
      </c>
      <c r="G177" s="45">
        <v>385483.58</v>
      </c>
      <c r="H177" s="45">
        <v>385549.23100000003</v>
      </c>
      <c r="I177" s="45">
        <v>385539.18</v>
      </c>
      <c r="J177" s="45">
        <v>385833.65</v>
      </c>
      <c r="K177" s="45">
        <v>385855.766</v>
      </c>
      <c r="L177" s="45">
        <v>385900.06300000002</v>
      </c>
      <c r="M177" s="45">
        <v>385913.1</v>
      </c>
      <c r="N177" s="45">
        <v>385982.7</v>
      </c>
      <c r="O177" s="45">
        <v>385982.7</v>
      </c>
      <c r="P177" s="45">
        <v>385982.7</v>
      </c>
      <c r="Q177" s="45">
        <v>385982.7</v>
      </c>
      <c r="R177" s="45">
        <v>386132.6</v>
      </c>
      <c r="S177" s="45">
        <v>386132.6</v>
      </c>
      <c r="T177" s="45">
        <v>386132.6</v>
      </c>
      <c r="U177" s="45">
        <v>386132.6</v>
      </c>
      <c r="V177" s="45">
        <v>411144.6</v>
      </c>
      <c r="W177" s="45">
        <v>411144.6</v>
      </c>
      <c r="X177" s="45">
        <v>411144.6</v>
      </c>
      <c r="Y177" s="45">
        <v>411144.6</v>
      </c>
      <c r="Z177" s="45">
        <v>411182.5</v>
      </c>
      <c r="AA177" s="45">
        <v>411182.5</v>
      </c>
      <c r="AB177" s="45">
        <v>411182.5</v>
      </c>
      <c r="AC177" s="45">
        <v>411182.5</v>
      </c>
      <c r="AD177" s="45">
        <v>411308.4</v>
      </c>
      <c r="AE177" s="45">
        <v>411308.4</v>
      </c>
      <c r="AF177" s="45">
        <v>411308.4</v>
      </c>
      <c r="AG177" s="45">
        <v>411308.4</v>
      </c>
      <c r="AH177" s="45">
        <v>411292.7</v>
      </c>
      <c r="AI177" s="45">
        <v>411292.7</v>
      </c>
      <c r="AJ177" s="45">
        <v>411292.7</v>
      </c>
      <c r="AK177" s="45">
        <v>411292.7</v>
      </c>
      <c r="AL177" s="45">
        <v>411306.1</v>
      </c>
      <c r="AM177" s="45">
        <v>411306.1</v>
      </c>
      <c r="AN177" s="45">
        <v>411306.1</v>
      </c>
      <c r="AO177" s="45">
        <v>411306.1</v>
      </c>
      <c r="AP177" s="45">
        <v>436970.7</v>
      </c>
      <c r="AQ177" s="45">
        <v>436970.7</v>
      </c>
      <c r="AR177" s="45">
        <v>436970.7</v>
      </c>
      <c r="AS177" s="45">
        <v>436970.7</v>
      </c>
    </row>
    <row r="178" spans="1:45" x14ac:dyDescent="0.2">
      <c r="A178" s="4" t="s">
        <v>242</v>
      </c>
      <c r="B178" s="45">
        <v>386483.49599999998</v>
      </c>
      <c r="C178" s="45">
        <v>385854.74400000001</v>
      </c>
      <c r="D178" s="45">
        <v>385850.18599999999</v>
      </c>
      <c r="E178" s="45">
        <v>385956.69500000001</v>
      </c>
      <c r="F178" s="45">
        <v>385230.99400000001</v>
      </c>
      <c r="G178" s="45">
        <v>385001.78</v>
      </c>
      <c r="H178" s="45">
        <v>385171.50699999998</v>
      </c>
      <c r="I178" s="45">
        <v>385221.071</v>
      </c>
      <c r="J178" s="45">
        <v>385678.72100000002</v>
      </c>
      <c r="K178" s="45">
        <v>385672.69799999997</v>
      </c>
      <c r="L178" s="45">
        <v>385723.35</v>
      </c>
      <c r="M178" s="45">
        <v>385759.3</v>
      </c>
      <c r="N178" s="45">
        <v>385519.5</v>
      </c>
      <c r="O178" s="45">
        <v>385519.5</v>
      </c>
      <c r="P178" s="45">
        <v>385519.5</v>
      </c>
      <c r="Q178" s="45">
        <v>385519.5</v>
      </c>
      <c r="R178" s="45">
        <v>385405.1</v>
      </c>
      <c r="S178" s="45">
        <v>385405.1</v>
      </c>
      <c r="T178" s="45">
        <v>385405.1</v>
      </c>
      <c r="U178" s="45">
        <v>385405.1</v>
      </c>
      <c r="V178" s="45">
        <v>410325</v>
      </c>
      <c r="W178" s="45">
        <v>410325</v>
      </c>
      <c r="X178" s="45">
        <v>410325</v>
      </c>
      <c r="Y178" s="45">
        <v>410325</v>
      </c>
      <c r="Z178" s="45">
        <v>410400.4</v>
      </c>
      <c r="AA178" s="45">
        <v>410400.4</v>
      </c>
      <c r="AB178" s="45">
        <v>410400.4</v>
      </c>
      <c r="AC178" s="45">
        <v>410400.4</v>
      </c>
      <c r="AD178" s="45">
        <v>410398.3</v>
      </c>
      <c r="AE178" s="45">
        <v>410398.3</v>
      </c>
      <c r="AF178" s="45">
        <v>410398.3</v>
      </c>
      <c r="AG178" s="45">
        <v>410398.3</v>
      </c>
      <c r="AH178" s="45">
        <v>410452.1</v>
      </c>
      <c r="AI178" s="45">
        <v>410452.1</v>
      </c>
      <c r="AJ178" s="45">
        <v>410452.1</v>
      </c>
      <c r="AK178" s="45">
        <v>410452.1</v>
      </c>
      <c r="AL178" s="45">
        <v>410568.8</v>
      </c>
      <c r="AM178" s="45">
        <v>410568.8</v>
      </c>
      <c r="AN178" s="45">
        <v>410568.8</v>
      </c>
      <c r="AO178" s="45">
        <v>410568.8</v>
      </c>
      <c r="AP178" s="45">
        <v>436607.5</v>
      </c>
      <c r="AQ178" s="45">
        <v>436607.5</v>
      </c>
      <c r="AR178" s="45">
        <v>436607.5</v>
      </c>
      <c r="AS178" s="45">
        <v>436607.5</v>
      </c>
    </row>
    <row r="179" spans="1:45" x14ac:dyDescent="0.2">
      <c r="A179" s="4" t="s">
        <v>243</v>
      </c>
      <c r="B179" s="45">
        <v>386345.69500000001</v>
      </c>
      <c r="C179" s="45">
        <v>385351.049</v>
      </c>
      <c r="D179" s="45">
        <v>385042.79</v>
      </c>
      <c r="E179" s="45">
        <v>385096.22499999998</v>
      </c>
      <c r="F179" s="45">
        <v>384788.25199999998</v>
      </c>
      <c r="G179" s="45">
        <v>384689.06800000003</v>
      </c>
      <c r="H179" s="45">
        <v>384615.02100000001</v>
      </c>
      <c r="I179" s="45">
        <v>384666.08199999999</v>
      </c>
      <c r="J179" s="45">
        <v>385682.114</v>
      </c>
      <c r="K179" s="45">
        <v>385916.07799999998</v>
      </c>
      <c r="L179" s="45">
        <v>385837.72899999999</v>
      </c>
      <c r="M179" s="45">
        <v>385848.5</v>
      </c>
      <c r="N179" s="45">
        <v>385643.2</v>
      </c>
      <c r="O179" s="45">
        <v>385635.8</v>
      </c>
      <c r="P179" s="45">
        <v>385655.3</v>
      </c>
      <c r="Q179" s="45">
        <v>385660</v>
      </c>
      <c r="R179" s="45">
        <v>385815.4</v>
      </c>
      <c r="S179" s="45">
        <v>385815.4</v>
      </c>
      <c r="T179" s="45">
        <v>385815.4</v>
      </c>
      <c r="U179" s="45">
        <v>385815.4</v>
      </c>
      <c r="V179" s="45">
        <v>410789.7</v>
      </c>
      <c r="W179" s="45">
        <v>410789.7</v>
      </c>
      <c r="X179" s="45">
        <v>410789.7</v>
      </c>
      <c r="Y179" s="45">
        <v>410789.7</v>
      </c>
      <c r="Z179" s="45">
        <v>410747</v>
      </c>
      <c r="AA179" s="45">
        <v>410747</v>
      </c>
      <c r="AB179" s="45">
        <v>410747</v>
      </c>
      <c r="AC179" s="45">
        <v>410747</v>
      </c>
      <c r="AD179" s="45">
        <v>411047</v>
      </c>
      <c r="AE179" s="45">
        <v>411047</v>
      </c>
      <c r="AF179" s="45">
        <v>411047</v>
      </c>
      <c r="AG179" s="45">
        <v>411047</v>
      </c>
      <c r="AH179" s="45">
        <v>411155.5</v>
      </c>
      <c r="AI179" s="45">
        <v>411155.5</v>
      </c>
      <c r="AJ179" s="45">
        <v>411155.5</v>
      </c>
      <c r="AK179" s="45">
        <v>411155.5</v>
      </c>
      <c r="AL179" s="45">
        <v>410961.9</v>
      </c>
      <c r="AM179" s="45">
        <v>410961.9</v>
      </c>
      <c r="AN179" s="45">
        <v>410961.9</v>
      </c>
      <c r="AO179" s="45">
        <v>410961.9</v>
      </c>
      <c r="AP179" s="45">
        <v>436416.2</v>
      </c>
      <c r="AQ179" s="45">
        <v>436416.2</v>
      </c>
      <c r="AR179" s="45">
        <v>436416.2</v>
      </c>
      <c r="AS179" s="45">
        <v>436416.2</v>
      </c>
    </row>
    <row r="180" spans="1:45" x14ac:dyDescent="0.2">
      <c r="A180" s="4" t="s">
        <v>244</v>
      </c>
      <c r="B180" s="45">
        <v>385460.84899999999</v>
      </c>
      <c r="C180" s="45">
        <v>384591.57299999997</v>
      </c>
      <c r="D180" s="45">
        <v>384522.49400000001</v>
      </c>
      <c r="E180" s="45">
        <v>384337.31699999998</v>
      </c>
      <c r="F180" s="45">
        <v>384006.788</v>
      </c>
      <c r="G180" s="45">
        <v>384166.43099999998</v>
      </c>
      <c r="H180" s="45">
        <v>384230.152</v>
      </c>
      <c r="I180" s="45">
        <v>384171.84499999997</v>
      </c>
      <c r="J180" s="45">
        <v>385881.98300000001</v>
      </c>
      <c r="K180" s="45">
        <v>385762.17700000003</v>
      </c>
      <c r="L180" s="45">
        <v>385759.77600000001</v>
      </c>
      <c r="M180" s="45">
        <v>385669.8</v>
      </c>
      <c r="N180" s="45">
        <v>385336.7</v>
      </c>
      <c r="O180" s="45">
        <v>385363.8</v>
      </c>
      <c r="P180" s="45">
        <v>385380.4</v>
      </c>
      <c r="Q180" s="45">
        <v>385366.2</v>
      </c>
      <c r="R180" s="45">
        <v>385418.1</v>
      </c>
      <c r="S180" s="45">
        <v>385418.1</v>
      </c>
      <c r="T180" s="45">
        <v>385418.1</v>
      </c>
      <c r="U180" s="45">
        <v>385418.1</v>
      </c>
      <c r="V180" s="45">
        <v>410764.79999999999</v>
      </c>
      <c r="W180" s="45">
        <v>410764.79999999999</v>
      </c>
      <c r="X180" s="45">
        <v>410764.79999999999</v>
      </c>
      <c r="Y180" s="45">
        <v>410764.79999999999</v>
      </c>
      <c r="Z180" s="45">
        <v>410801.3</v>
      </c>
      <c r="AA180" s="45">
        <v>410801.3</v>
      </c>
      <c r="AB180" s="45">
        <v>410801.3</v>
      </c>
      <c r="AC180" s="45">
        <v>410801.3</v>
      </c>
      <c r="AD180" s="45">
        <v>410915.9</v>
      </c>
      <c r="AE180" s="45">
        <v>410915.9</v>
      </c>
      <c r="AF180" s="45">
        <v>410915.9</v>
      </c>
      <c r="AG180" s="45">
        <v>410915.9</v>
      </c>
      <c r="AH180" s="45">
        <v>410958.4</v>
      </c>
      <c r="AI180" s="45">
        <v>410958.4</v>
      </c>
      <c r="AJ180" s="45">
        <v>410958.4</v>
      </c>
      <c r="AK180" s="45">
        <v>410958.4</v>
      </c>
      <c r="AL180" s="45">
        <v>410949.3</v>
      </c>
      <c r="AM180" s="45">
        <v>410949.3</v>
      </c>
      <c r="AN180" s="45">
        <v>410949.3</v>
      </c>
      <c r="AO180" s="45">
        <v>410949.3</v>
      </c>
      <c r="AP180" s="45">
        <v>436626.9</v>
      </c>
      <c r="AQ180" s="45">
        <v>436626.9</v>
      </c>
      <c r="AR180" s="45">
        <v>436626.9</v>
      </c>
      <c r="AS180" s="45">
        <v>436626.9</v>
      </c>
    </row>
    <row r="181" spans="1:45" x14ac:dyDescent="0.2">
      <c r="A181" s="4" t="s">
        <v>245</v>
      </c>
      <c r="B181" s="45">
        <v>384903.55699999997</v>
      </c>
      <c r="C181" s="45">
        <v>384065.81099999999</v>
      </c>
      <c r="D181" s="45">
        <v>384122.49099999998</v>
      </c>
      <c r="E181" s="45">
        <v>384122.70799999998</v>
      </c>
      <c r="F181" s="45">
        <v>383737.35700000002</v>
      </c>
      <c r="G181" s="45">
        <v>384003.989</v>
      </c>
      <c r="H181" s="45">
        <v>383977.51</v>
      </c>
      <c r="I181" s="45">
        <v>383929.81</v>
      </c>
      <c r="J181" s="45">
        <v>386019.97200000001</v>
      </c>
      <c r="K181" s="45">
        <v>386149.24300000002</v>
      </c>
      <c r="L181" s="45">
        <v>386197.70299999998</v>
      </c>
      <c r="M181" s="45">
        <v>386234.5</v>
      </c>
      <c r="N181" s="45">
        <v>386161.5</v>
      </c>
      <c r="O181" s="45">
        <v>386172</v>
      </c>
      <c r="P181" s="45">
        <v>386305.7</v>
      </c>
      <c r="Q181" s="45">
        <v>386305.1</v>
      </c>
      <c r="R181" s="45">
        <v>386329</v>
      </c>
      <c r="S181" s="45">
        <v>386329</v>
      </c>
      <c r="T181" s="45">
        <v>386329</v>
      </c>
      <c r="U181" s="45">
        <v>386329</v>
      </c>
      <c r="V181" s="45">
        <v>411346.7</v>
      </c>
      <c r="W181" s="45">
        <v>411346.7</v>
      </c>
      <c r="X181" s="45">
        <v>411346.7</v>
      </c>
      <c r="Y181" s="45">
        <v>411346.7</v>
      </c>
      <c r="Z181" s="45">
        <v>411350.6</v>
      </c>
      <c r="AA181" s="45">
        <v>411350.6</v>
      </c>
      <c r="AB181" s="45">
        <v>411350.6</v>
      </c>
      <c r="AC181" s="45">
        <v>411350.6</v>
      </c>
      <c r="AD181" s="45">
        <v>411338.1</v>
      </c>
      <c r="AE181" s="45">
        <v>411338.1</v>
      </c>
      <c r="AF181" s="45">
        <v>411338.1</v>
      </c>
      <c r="AG181" s="45">
        <v>411338.1</v>
      </c>
      <c r="AH181" s="45">
        <v>411525.8</v>
      </c>
      <c r="AI181" s="45">
        <v>411525.8</v>
      </c>
      <c r="AJ181" s="45">
        <v>411525.8</v>
      </c>
      <c r="AK181" s="45">
        <v>411525.8</v>
      </c>
      <c r="AL181" s="45">
        <v>411624.3</v>
      </c>
      <c r="AM181" s="45">
        <v>411624.3</v>
      </c>
      <c r="AN181" s="45">
        <v>411624.3</v>
      </c>
      <c r="AO181" s="45">
        <v>411624.3</v>
      </c>
      <c r="AP181" s="45">
        <v>436721.6</v>
      </c>
      <c r="AQ181" s="45">
        <v>436721.6</v>
      </c>
      <c r="AR181" s="45">
        <v>436721.6</v>
      </c>
      <c r="AS181" s="45">
        <v>436721.6</v>
      </c>
    </row>
    <row r="182" spans="1:45" x14ac:dyDescent="0.2">
      <c r="A182" s="4" t="s">
        <v>246</v>
      </c>
      <c r="B182" s="45"/>
      <c r="C182" s="45">
        <v>383941.12900000002</v>
      </c>
      <c r="D182" s="45">
        <v>384159.17499999999</v>
      </c>
      <c r="E182" s="45">
        <v>384290.74699999997</v>
      </c>
      <c r="F182" s="45">
        <v>383504.076</v>
      </c>
      <c r="G182" s="45">
        <v>383688.60700000002</v>
      </c>
      <c r="H182" s="45">
        <v>383725.413</v>
      </c>
      <c r="I182" s="45">
        <v>383780.35800000001</v>
      </c>
      <c r="J182" s="45">
        <v>385944.50199999998</v>
      </c>
      <c r="K182" s="45">
        <v>385968.56099999999</v>
      </c>
      <c r="L182" s="45">
        <v>386000.85100000002</v>
      </c>
      <c r="M182" s="45">
        <v>386042.5</v>
      </c>
      <c r="N182" s="45">
        <v>386683.7</v>
      </c>
      <c r="O182" s="45">
        <v>386484.9</v>
      </c>
      <c r="P182" s="45">
        <v>386314.9</v>
      </c>
      <c r="Q182" s="45">
        <v>386324.9</v>
      </c>
      <c r="R182" s="45">
        <v>386186.7</v>
      </c>
      <c r="S182" s="45">
        <v>386186.7</v>
      </c>
      <c r="T182" s="45">
        <v>386186.7</v>
      </c>
      <c r="U182" s="45">
        <v>386186.7</v>
      </c>
      <c r="V182" s="45">
        <v>410487</v>
      </c>
      <c r="W182" s="45">
        <v>410487</v>
      </c>
      <c r="X182" s="45">
        <v>410487</v>
      </c>
      <c r="Y182" s="45">
        <v>410487</v>
      </c>
      <c r="Z182" s="45">
        <v>410467.4</v>
      </c>
      <c r="AA182" s="45">
        <v>410467.4</v>
      </c>
      <c r="AB182" s="45">
        <v>410467.4</v>
      </c>
      <c r="AC182" s="45">
        <v>410467.4</v>
      </c>
      <c r="AD182" s="45">
        <v>410233.59999999998</v>
      </c>
      <c r="AE182" s="45">
        <v>410233.59999999998</v>
      </c>
      <c r="AF182" s="45">
        <v>410233.59999999998</v>
      </c>
      <c r="AG182" s="45">
        <v>410233.59999999998</v>
      </c>
      <c r="AH182" s="45">
        <v>410044.7</v>
      </c>
      <c r="AI182" s="45">
        <v>410044.7</v>
      </c>
      <c r="AJ182" s="45">
        <v>410044.7</v>
      </c>
      <c r="AK182" s="45">
        <v>410044.7</v>
      </c>
      <c r="AL182" s="45">
        <v>410248.7</v>
      </c>
      <c r="AM182" s="45">
        <v>410248.7</v>
      </c>
      <c r="AN182" s="45">
        <v>410248.7</v>
      </c>
      <c r="AO182" s="45">
        <v>410248.7</v>
      </c>
      <c r="AP182" s="45">
        <v>436268.79999999999</v>
      </c>
      <c r="AQ182" s="45">
        <v>436268.79999999999</v>
      </c>
      <c r="AR182" s="45">
        <v>436268.79999999999</v>
      </c>
      <c r="AS182" s="45">
        <v>436268.79999999999</v>
      </c>
    </row>
    <row r="183" spans="1:45" x14ac:dyDescent="0.2">
      <c r="A183" s="4" t="s">
        <v>247</v>
      </c>
      <c r="B183" s="45"/>
      <c r="C183" s="45"/>
      <c r="D183" s="45">
        <v>385340.05200000003</v>
      </c>
      <c r="E183" s="45">
        <v>385692.49200000003</v>
      </c>
      <c r="F183" s="45">
        <v>385116.09</v>
      </c>
      <c r="G183" s="45">
        <v>385279.93599999999</v>
      </c>
      <c r="H183" s="45">
        <v>385141.853</v>
      </c>
      <c r="I183" s="45">
        <v>385209.80499999999</v>
      </c>
      <c r="J183" s="45">
        <v>387061.30300000001</v>
      </c>
      <c r="K183" s="45">
        <v>387054.22899999999</v>
      </c>
      <c r="L183" s="45">
        <v>386969.375</v>
      </c>
      <c r="M183" s="45">
        <v>386993.7</v>
      </c>
      <c r="N183" s="45">
        <v>387364.6</v>
      </c>
      <c r="O183" s="45">
        <v>387492.5</v>
      </c>
      <c r="P183" s="45">
        <v>387194.2</v>
      </c>
      <c r="Q183" s="45">
        <v>387188.7</v>
      </c>
      <c r="R183" s="45">
        <v>386975.1</v>
      </c>
      <c r="S183" s="45">
        <v>386965.8</v>
      </c>
      <c r="T183" s="45">
        <v>387019.1</v>
      </c>
      <c r="U183" s="45">
        <v>387033</v>
      </c>
      <c r="V183" s="45">
        <v>411343.4</v>
      </c>
      <c r="W183" s="45">
        <v>411343.4</v>
      </c>
      <c r="X183" s="45">
        <v>411343.4</v>
      </c>
      <c r="Y183" s="45">
        <v>411343.4</v>
      </c>
      <c r="Z183" s="45">
        <v>411349.7</v>
      </c>
      <c r="AA183" s="45">
        <v>411349.7</v>
      </c>
      <c r="AB183" s="45">
        <v>411349.7</v>
      </c>
      <c r="AC183" s="45">
        <v>411349.7</v>
      </c>
      <c r="AD183" s="45">
        <v>411318.7</v>
      </c>
      <c r="AE183" s="45">
        <v>411318.7</v>
      </c>
      <c r="AF183" s="45">
        <v>411318.7</v>
      </c>
      <c r="AG183" s="45">
        <v>411318.7</v>
      </c>
      <c r="AH183" s="45">
        <v>411498.4</v>
      </c>
      <c r="AI183" s="45">
        <v>411498.4</v>
      </c>
      <c r="AJ183" s="45">
        <v>411498.4</v>
      </c>
      <c r="AK183" s="45">
        <v>411498.4</v>
      </c>
      <c r="AL183" s="45">
        <v>411434.4</v>
      </c>
      <c r="AM183" s="45">
        <v>411434.4</v>
      </c>
      <c r="AN183" s="45">
        <v>411434.4</v>
      </c>
      <c r="AO183" s="45">
        <v>411434.4</v>
      </c>
      <c r="AP183" s="45">
        <v>437801</v>
      </c>
      <c r="AQ183" s="45">
        <v>437801</v>
      </c>
      <c r="AR183" s="45">
        <v>437801</v>
      </c>
      <c r="AS183" s="45">
        <v>437801</v>
      </c>
    </row>
    <row r="184" spans="1:45" x14ac:dyDescent="0.2">
      <c r="A184" s="4" t="s">
        <v>248</v>
      </c>
      <c r="B184" s="45"/>
      <c r="C184" s="45"/>
      <c r="D184" s="45"/>
      <c r="E184" s="45">
        <v>386925.33500000002</v>
      </c>
      <c r="F184" s="45">
        <v>386188.03</v>
      </c>
      <c r="G184" s="45">
        <v>386437.12199999997</v>
      </c>
      <c r="H184" s="45">
        <v>386357.98200000002</v>
      </c>
      <c r="I184" s="45">
        <v>386141.12699999998</v>
      </c>
      <c r="J184" s="45">
        <v>388101.63699999999</v>
      </c>
      <c r="K184" s="45">
        <v>388489.76199999999</v>
      </c>
      <c r="L184" s="45">
        <v>388437.41100000002</v>
      </c>
      <c r="M184" s="45">
        <v>388334</v>
      </c>
      <c r="N184" s="45">
        <v>388869.4</v>
      </c>
      <c r="O184" s="45">
        <v>388842.4</v>
      </c>
      <c r="P184" s="45">
        <v>388803.3</v>
      </c>
      <c r="Q184" s="45">
        <v>388768.9</v>
      </c>
      <c r="R184" s="45">
        <v>388455.8</v>
      </c>
      <c r="S184" s="45">
        <v>388468.8</v>
      </c>
      <c r="T184" s="45">
        <v>388517.1</v>
      </c>
      <c r="U184" s="45">
        <v>388485.7</v>
      </c>
      <c r="V184" s="45">
        <v>412984.3</v>
      </c>
      <c r="W184" s="45">
        <v>412984.3</v>
      </c>
      <c r="X184" s="45">
        <v>412984.3</v>
      </c>
      <c r="Y184" s="45">
        <v>412984.3</v>
      </c>
      <c r="Z184" s="45">
        <v>412921.9</v>
      </c>
      <c r="AA184" s="45">
        <v>412921.9</v>
      </c>
      <c r="AB184" s="45">
        <v>412921.9</v>
      </c>
      <c r="AC184" s="45">
        <v>412921.9</v>
      </c>
      <c r="AD184" s="45">
        <v>412948.6</v>
      </c>
      <c r="AE184" s="45">
        <v>412948.6</v>
      </c>
      <c r="AF184" s="45">
        <v>412948.6</v>
      </c>
      <c r="AG184" s="45">
        <v>412948.6</v>
      </c>
      <c r="AH184" s="45">
        <v>413076.5</v>
      </c>
      <c r="AI184" s="45">
        <v>413076.5</v>
      </c>
      <c r="AJ184" s="45">
        <v>413076.5</v>
      </c>
      <c r="AK184" s="45">
        <v>413076.5</v>
      </c>
      <c r="AL184" s="45">
        <v>413000.9</v>
      </c>
      <c r="AM184" s="45">
        <v>413000.9</v>
      </c>
      <c r="AN184" s="45">
        <v>413000.9</v>
      </c>
      <c r="AO184" s="45">
        <v>413000.9</v>
      </c>
      <c r="AP184" s="45">
        <v>439525.6</v>
      </c>
      <c r="AQ184" s="45">
        <v>439525.6</v>
      </c>
      <c r="AR184" s="45">
        <v>439525.6</v>
      </c>
      <c r="AS184" s="45">
        <v>439525.6</v>
      </c>
    </row>
    <row r="185" spans="1:45" x14ac:dyDescent="0.2">
      <c r="A185" s="4" t="s">
        <v>249</v>
      </c>
      <c r="B185" s="45"/>
      <c r="C185" s="45"/>
      <c r="D185" s="45"/>
      <c r="E185" s="45"/>
      <c r="F185" s="45">
        <v>386969.49900000001</v>
      </c>
      <c r="G185" s="45">
        <v>387168.54300000001</v>
      </c>
      <c r="H185" s="45">
        <v>387100.54800000001</v>
      </c>
      <c r="I185" s="45">
        <v>387127.201</v>
      </c>
      <c r="J185" s="45">
        <v>388466.41899999999</v>
      </c>
      <c r="K185" s="45">
        <v>388827.66100000002</v>
      </c>
      <c r="L185" s="45">
        <v>388922.01899999997</v>
      </c>
      <c r="M185" s="45">
        <v>388984</v>
      </c>
      <c r="N185" s="45">
        <v>389893.7</v>
      </c>
      <c r="O185" s="45">
        <v>389677.4</v>
      </c>
      <c r="P185" s="45">
        <v>389668</v>
      </c>
      <c r="Q185" s="45">
        <v>389668.2</v>
      </c>
      <c r="R185" s="45">
        <v>389618.9</v>
      </c>
      <c r="S185" s="45">
        <v>389554.9</v>
      </c>
      <c r="T185" s="45">
        <v>389539.7</v>
      </c>
      <c r="U185" s="45">
        <v>389546</v>
      </c>
      <c r="V185" s="45">
        <v>413929</v>
      </c>
      <c r="W185" s="45">
        <v>413929</v>
      </c>
      <c r="X185" s="45">
        <v>413929</v>
      </c>
      <c r="Y185" s="45">
        <v>413929</v>
      </c>
      <c r="Z185" s="45">
        <v>413864.9</v>
      </c>
      <c r="AA185" s="45">
        <v>413864.9</v>
      </c>
      <c r="AB185" s="45">
        <v>413864.9</v>
      </c>
      <c r="AC185" s="45">
        <v>413864.9</v>
      </c>
      <c r="AD185" s="45">
        <v>413940</v>
      </c>
      <c r="AE185" s="45">
        <v>413940</v>
      </c>
      <c r="AF185" s="45">
        <v>413940</v>
      </c>
      <c r="AG185" s="45">
        <v>413940</v>
      </c>
      <c r="AH185" s="45">
        <v>413799.8</v>
      </c>
      <c r="AI185" s="45">
        <v>413799.8</v>
      </c>
      <c r="AJ185" s="45">
        <v>413799.8</v>
      </c>
      <c r="AK185" s="45">
        <v>413799.8</v>
      </c>
      <c r="AL185" s="45">
        <v>413866.9</v>
      </c>
      <c r="AM185" s="45">
        <v>413866.9</v>
      </c>
      <c r="AN185" s="45">
        <v>413866.9</v>
      </c>
      <c r="AO185" s="45">
        <v>413866.9</v>
      </c>
      <c r="AP185" s="45">
        <v>439694.9</v>
      </c>
      <c r="AQ185" s="45">
        <v>439694.9</v>
      </c>
      <c r="AR185" s="45">
        <v>439694.9</v>
      </c>
      <c r="AS185" s="45">
        <v>439694.9</v>
      </c>
    </row>
    <row r="186" spans="1:45" x14ac:dyDescent="0.2">
      <c r="A186" s="4" t="s">
        <v>250</v>
      </c>
      <c r="B186" s="45"/>
      <c r="C186" s="45"/>
      <c r="D186" s="45"/>
      <c r="E186" s="45"/>
      <c r="F186" s="45"/>
      <c r="G186" s="45">
        <v>387533.06199999998</v>
      </c>
      <c r="H186" s="45">
        <v>387818.28</v>
      </c>
      <c r="I186" s="45">
        <v>387940.53</v>
      </c>
      <c r="J186" s="45">
        <v>389389.489</v>
      </c>
      <c r="K186" s="45">
        <v>389667.16899999999</v>
      </c>
      <c r="L186" s="45">
        <v>389710.016</v>
      </c>
      <c r="M186" s="45">
        <v>389726.3</v>
      </c>
      <c r="N186" s="45">
        <v>391210.2</v>
      </c>
      <c r="O186" s="45">
        <v>390436.6</v>
      </c>
      <c r="P186" s="45">
        <v>390783.2</v>
      </c>
      <c r="Q186" s="45">
        <v>390822.9</v>
      </c>
      <c r="R186" s="45">
        <v>391065.9</v>
      </c>
      <c r="S186" s="45">
        <v>391105.3</v>
      </c>
      <c r="T186" s="45">
        <v>391016</v>
      </c>
      <c r="U186" s="45">
        <v>391027.3</v>
      </c>
      <c r="V186" s="45">
        <v>415954.4</v>
      </c>
      <c r="W186" s="45">
        <v>415954.4</v>
      </c>
      <c r="X186" s="45">
        <v>415954.4</v>
      </c>
      <c r="Y186" s="45">
        <v>415954.4</v>
      </c>
      <c r="Z186" s="45">
        <v>416081.9</v>
      </c>
      <c r="AA186" s="45">
        <v>416081.9</v>
      </c>
      <c r="AB186" s="45">
        <v>416081.9</v>
      </c>
      <c r="AC186" s="45">
        <v>416081.9</v>
      </c>
      <c r="AD186" s="45">
        <v>416127.5</v>
      </c>
      <c r="AE186" s="45">
        <v>416127.5</v>
      </c>
      <c r="AF186" s="45">
        <v>416127.5</v>
      </c>
      <c r="AG186" s="45">
        <v>416127.5</v>
      </c>
      <c r="AH186" s="45">
        <v>415936.6</v>
      </c>
      <c r="AI186" s="45">
        <v>415936.6</v>
      </c>
      <c r="AJ186" s="45">
        <v>415936.6</v>
      </c>
      <c r="AK186" s="45">
        <v>415936.6</v>
      </c>
      <c r="AL186" s="45">
        <v>415876.5</v>
      </c>
      <c r="AM186" s="45">
        <v>415876.5</v>
      </c>
      <c r="AN186" s="45">
        <v>415876.5</v>
      </c>
      <c r="AO186" s="45">
        <v>415876.5</v>
      </c>
      <c r="AP186" s="45">
        <v>442027.1</v>
      </c>
      <c r="AQ186" s="45">
        <v>442027.1</v>
      </c>
      <c r="AR186" s="45">
        <v>442027.1</v>
      </c>
      <c r="AS186" s="45">
        <v>442027.1</v>
      </c>
    </row>
    <row r="187" spans="1:45" x14ac:dyDescent="0.2">
      <c r="A187" s="4" t="s">
        <v>251</v>
      </c>
      <c r="B187" s="45"/>
      <c r="C187" s="45"/>
      <c r="D187" s="45"/>
      <c r="E187" s="45"/>
      <c r="F187" s="45"/>
      <c r="G187" s="45"/>
      <c r="H187" s="45">
        <v>388806.84899999999</v>
      </c>
      <c r="I187" s="45">
        <v>389146.83799999999</v>
      </c>
      <c r="J187" s="45">
        <v>390982.06900000002</v>
      </c>
      <c r="K187" s="45">
        <v>391395.06199999998</v>
      </c>
      <c r="L187" s="45">
        <v>391102.64799999999</v>
      </c>
      <c r="M187" s="45">
        <v>391093.3</v>
      </c>
      <c r="N187" s="45">
        <v>392299.7</v>
      </c>
      <c r="O187" s="45">
        <v>391656.1</v>
      </c>
      <c r="P187" s="45">
        <v>391685.2</v>
      </c>
      <c r="Q187" s="45">
        <v>391706.9</v>
      </c>
      <c r="R187" s="45">
        <v>392116.1</v>
      </c>
      <c r="S187" s="45">
        <v>392006.7</v>
      </c>
      <c r="T187" s="45">
        <v>391944.6</v>
      </c>
      <c r="U187" s="45">
        <v>391946.3</v>
      </c>
      <c r="V187" s="45">
        <v>417268.7</v>
      </c>
      <c r="W187" s="45">
        <v>417386</v>
      </c>
      <c r="X187" s="45">
        <v>417311.2</v>
      </c>
      <c r="Y187" s="45">
        <v>417322.1</v>
      </c>
      <c r="Z187" s="45">
        <v>417295.4</v>
      </c>
      <c r="AA187" s="45">
        <v>417295.4</v>
      </c>
      <c r="AB187" s="45">
        <v>417295.4</v>
      </c>
      <c r="AC187" s="45">
        <v>417295.4</v>
      </c>
      <c r="AD187" s="45">
        <v>417261.8</v>
      </c>
      <c r="AE187" s="45">
        <v>417261.8</v>
      </c>
      <c r="AF187" s="45">
        <v>417261.8</v>
      </c>
      <c r="AG187" s="45">
        <v>417261.8</v>
      </c>
      <c r="AH187" s="45">
        <v>417508.8</v>
      </c>
      <c r="AI187" s="45">
        <v>417508.8</v>
      </c>
      <c r="AJ187" s="45">
        <v>417508.8</v>
      </c>
      <c r="AK187" s="45">
        <v>417508.8</v>
      </c>
      <c r="AL187" s="45">
        <v>417330.6</v>
      </c>
      <c r="AM187" s="45">
        <v>417330.6</v>
      </c>
      <c r="AN187" s="45">
        <v>417330.6</v>
      </c>
      <c r="AO187" s="45">
        <v>417330.6</v>
      </c>
      <c r="AP187" s="45">
        <v>442807.9</v>
      </c>
      <c r="AQ187" s="45">
        <v>442807.9</v>
      </c>
      <c r="AR187" s="45">
        <v>442807.9</v>
      </c>
      <c r="AS187" s="45">
        <v>442807.9</v>
      </c>
    </row>
    <row r="188" spans="1:45" x14ac:dyDescent="0.2">
      <c r="A188" s="4" t="s">
        <v>252</v>
      </c>
      <c r="B188" s="45"/>
      <c r="C188" s="45"/>
      <c r="D188" s="45"/>
      <c r="E188" s="45"/>
      <c r="F188" s="45"/>
      <c r="G188" s="45"/>
      <c r="H188" s="45"/>
      <c r="I188" s="45">
        <v>389234.51500000001</v>
      </c>
      <c r="J188" s="45">
        <v>391310.75799999997</v>
      </c>
      <c r="K188" s="45">
        <v>391773.027</v>
      </c>
      <c r="L188" s="45">
        <v>391591.44699999999</v>
      </c>
      <c r="M188" s="45">
        <v>391470.7</v>
      </c>
      <c r="N188" s="45">
        <v>392739.2</v>
      </c>
      <c r="O188" s="45">
        <v>392126</v>
      </c>
      <c r="P188" s="45">
        <v>392063.8</v>
      </c>
      <c r="Q188" s="45">
        <v>392034.1</v>
      </c>
      <c r="R188" s="45">
        <v>392944</v>
      </c>
      <c r="S188" s="45">
        <v>392937.7</v>
      </c>
      <c r="T188" s="45">
        <v>392868.2</v>
      </c>
      <c r="U188" s="45">
        <v>392820.3</v>
      </c>
      <c r="V188" s="45">
        <v>417941.8</v>
      </c>
      <c r="W188" s="45">
        <v>418116.8</v>
      </c>
      <c r="X188" s="45">
        <v>418127.6</v>
      </c>
      <c r="Y188" s="45">
        <v>418106.8</v>
      </c>
      <c r="Z188" s="45">
        <v>418176.9</v>
      </c>
      <c r="AA188" s="45">
        <v>418176.9</v>
      </c>
      <c r="AB188" s="45">
        <v>418176.9</v>
      </c>
      <c r="AC188" s="45">
        <v>418176.9</v>
      </c>
      <c r="AD188" s="45">
        <v>418119.8</v>
      </c>
      <c r="AE188" s="45">
        <v>418119.8</v>
      </c>
      <c r="AF188" s="45">
        <v>418119.8</v>
      </c>
      <c r="AG188" s="45">
        <v>418119.8</v>
      </c>
      <c r="AH188" s="45">
        <v>418177.3</v>
      </c>
      <c r="AI188" s="45">
        <v>418177.3</v>
      </c>
      <c r="AJ188" s="45">
        <v>418177.3</v>
      </c>
      <c r="AK188" s="45">
        <v>418177.3</v>
      </c>
      <c r="AL188" s="45">
        <v>418146.4</v>
      </c>
      <c r="AM188" s="45">
        <v>418146.4</v>
      </c>
      <c r="AN188" s="45">
        <v>418146.4</v>
      </c>
      <c r="AO188" s="45">
        <v>418146.4</v>
      </c>
      <c r="AP188" s="45">
        <v>444021.8</v>
      </c>
      <c r="AQ188" s="45">
        <v>444021.8</v>
      </c>
      <c r="AR188" s="45">
        <v>444021.8</v>
      </c>
      <c r="AS188" s="45">
        <v>444021.8</v>
      </c>
    </row>
    <row r="189" spans="1:45" x14ac:dyDescent="0.2">
      <c r="A189" s="4" t="s">
        <v>253</v>
      </c>
      <c r="B189" s="45"/>
      <c r="C189" s="45"/>
      <c r="D189" s="45"/>
      <c r="E189" s="45"/>
      <c r="F189" s="45"/>
      <c r="G189" s="45"/>
      <c r="H189" s="45"/>
      <c r="I189" s="45"/>
      <c r="J189" s="45">
        <v>392303.42599999998</v>
      </c>
      <c r="K189" s="45">
        <v>392792.44099999999</v>
      </c>
      <c r="L189" s="45">
        <v>392725.64299999998</v>
      </c>
      <c r="M189" s="45">
        <v>392677.4</v>
      </c>
      <c r="N189" s="45">
        <v>393524.1</v>
      </c>
      <c r="O189" s="45">
        <v>393061.6</v>
      </c>
      <c r="P189" s="45">
        <v>392965.5</v>
      </c>
      <c r="Q189" s="45">
        <v>392972.1</v>
      </c>
      <c r="R189" s="45">
        <v>394396.4</v>
      </c>
      <c r="S189" s="45">
        <v>394239.3</v>
      </c>
      <c r="T189" s="45">
        <v>394294.9</v>
      </c>
      <c r="U189" s="45">
        <v>394319.9</v>
      </c>
      <c r="V189" s="45">
        <v>420302</v>
      </c>
      <c r="W189" s="45">
        <v>420351.8</v>
      </c>
      <c r="X189" s="45">
        <v>420367.4</v>
      </c>
      <c r="Y189" s="45">
        <v>420362.8</v>
      </c>
      <c r="Z189" s="45">
        <v>420398.1</v>
      </c>
      <c r="AA189" s="45">
        <v>420398.1</v>
      </c>
      <c r="AB189" s="45">
        <v>420398.1</v>
      </c>
      <c r="AC189" s="45">
        <v>420398.1</v>
      </c>
      <c r="AD189" s="45">
        <v>420489.3</v>
      </c>
      <c r="AE189" s="45">
        <v>420489.3</v>
      </c>
      <c r="AF189" s="45">
        <v>420489.3</v>
      </c>
      <c r="AG189" s="45">
        <v>420489.3</v>
      </c>
      <c r="AH189" s="45">
        <v>420394</v>
      </c>
      <c r="AI189" s="45">
        <v>420394</v>
      </c>
      <c r="AJ189" s="45">
        <v>420394</v>
      </c>
      <c r="AK189" s="45">
        <v>420394</v>
      </c>
      <c r="AL189" s="45">
        <v>420375</v>
      </c>
      <c r="AM189" s="45">
        <v>420375</v>
      </c>
      <c r="AN189" s="45">
        <v>420375</v>
      </c>
      <c r="AO189" s="45">
        <v>420375</v>
      </c>
      <c r="AP189" s="45">
        <v>447174.40000000002</v>
      </c>
      <c r="AQ189" s="45">
        <v>447174.40000000002</v>
      </c>
      <c r="AR189" s="45">
        <v>447174.40000000002</v>
      </c>
      <c r="AS189" s="45">
        <v>447174.40000000002</v>
      </c>
    </row>
    <row r="190" spans="1:45" x14ac:dyDescent="0.2">
      <c r="A190" s="4" t="s">
        <v>254</v>
      </c>
      <c r="B190" s="45"/>
      <c r="C190" s="45"/>
      <c r="D190" s="45"/>
      <c r="E190" s="45"/>
      <c r="F190" s="45"/>
      <c r="G190" s="45"/>
      <c r="H190" s="45"/>
      <c r="I190" s="45"/>
      <c r="J190" s="45"/>
      <c r="K190" s="45">
        <v>393512.07500000001</v>
      </c>
      <c r="L190" s="45">
        <v>394052.86700000003</v>
      </c>
      <c r="M190" s="45">
        <v>394230.6</v>
      </c>
      <c r="N190" s="45">
        <v>395240</v>
      </c>
      <c r="O190" s="45">
        <v>394736.3</v>
      </c>
      <c r="P190" s="45">
        <v>394864.9</v>
      </c>
      <c r="Q190" s="45">
        <v>394866.5</v>
      </c>
      <c r="R190" s="45">
        <v>396232.5</v>
      </c>
      <c r="S190" s="45">
        <v>396080.1</v>
      </c>
      <c r="T190" s="45">
        <v>396158.5</v>
      </c>
      <c r="U190" s="45">
        <v>396179.7</v>
      </c>
      <c r="V190" s="45">
        <v>421697.3</v>
      </c>
      <c r="W190" s="45">
        <v>421609.2</v>
      </c>
      <c r="X190" s="45">
        <v>421656.6</v>
      </c>
      <c r="Y190" s="45">
        <v>421670.9</v>
      </c>
      <c r="Z190" s="45">
        <v>421593.3</v>
      </c>
      <c r="AA190" s="45">
        <v>421593.3</v>
      </c>
      <c r="AB190" s="45">
        <v>421593.3</v>
      </c>
      <c r="AC190" s="45">
        <v>421593.3</v>
      </c>
      <c r="AD190" s="45">
        <v>421694.2</v>
      </c>
      <c r="AE190" s="45">
        <v>421694.2</v>
      </c>
      <c r="AF190" s="45">
        <v>421694.2</v>
      </c>
      <c r="AG190" s="45">
        <v>421694.2</v>
      </c>
      <c r="AH190" s="45">
        <v>421683.7</v>
      </c>
      <c r="AI190" s="45">
        <v>421683.7</v>
      </c>
      <c r="AJ190" s="45">
        <v>421683.7</v>
      </c>
      <c r="AK190" s="45">
        <v>421683.7</v>
      </c>
      <c r="AL190" s="45">
        <v>421946.6</v>
      </c>
      <c r="AM190" s="45">
        <v>421946.6</v>
      </c>
      <c r="AN190" s="45">
        <v>421946.6</v>
      </c>
      <c r="AO190" s="45">
        <v>421946.6</v>
      </c>
      <c r="AP190" s="45">
        <v>448866.5</v>
      </c>
      <c r="AQ190" s="45">
        <v>448866.5</v>
      </c>
      <c r="AR190" s="45">
        <v>448866.5</v>
      </c>
      <c r="AS190" s="45">
        <v>448866.5</v>
      </c>
    </row>
    <row r="191" spans="1:45" x14ac:dyDescent="0.2">
      <c r="A191" s="4" t="s">
        <v>255</v>
      </c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>
        <v>395782.58600000001</v>
      </c>
      <c r="M191" s="45">
        <v>395962.9</v>
      </c>
      <c r="N191" s="45">
        <v>397381.6</v>
      </c>
      <c r="O191" s="45">
        <v>396557.5</v>
      </c>
      <c r="P191" s="45">
        <v>396866.2</v>
      </c>
      <c r="Q191" s="45">
        <v>396899.1</v>
      </c>
      <c r="R191" s="45">
        <v>398201.8</v>
      </c>
      <c r="S191" s="45">
        <v>398190.3</v>
      </c>
      <c r="T191" s="45">
        <v>398362.2</v>
      </c>
      <c r="U191" s="45">
        <v>398369.7</v>
      </c>
      <c r="V191" s="45">
        <v>424155.1</v>
      </c>
      <c r="W191" s="45">
        <v>424185.8</v>
      </c>
      <c r="X191" s="45">
        <v>424104.4</v>
      </c>
      <c r="Y191" s="45">
        <v>424048.7</v>
      </c>
      <c r="Z191" s="45">
        <v>423879.8</v>
      </c>
      <c r="AA191" s="45">
        <v>423927.1</v>
      </c>
      <c r="AB191" s="45">
        <v>423945.4</v>
      </c>
      <c r="AC191" s="45">
        <v>423912.5</v>
      </c>
      <c r="AD191" s="45">
        <v>424010.4</v>
      </c>
      <c r="AE191" s="45">
        <v>424010.4</v>
      </c>
      <c r="AF191" s="45">
        <v>424010.4</v>
      </c>
      <c r="AG191" s="45">
        <v>424010.4</v>
      </c>
      <c r="AH191" s="45">
        <v>423868.8</v>
      </c>
      <c r="AI191" s="45">
        <v>423868.8</v>
      </c>
      <c r="AJ191" s="45">
        <v>423868.8</v>
      </c>
      <c r="AK191" s="45">
        <v>423868.8</v>
      </c>
      <c r="AL191" s="45">
        <v>423956.2</v>
      </c>
      <c r="AM191" s="45">
        <v>423956.2</v>
      </c>
      <c r="AN191" s="45">
        <v>423956.2</v>
      </c>
      <c r="AO191" s="45">
        <v>423956.2</v>
      </c>
      <c r="AP191" s="45">
        <v>450875.2</v>
      </c>
      <c r="AQ191" s="45">
        <v>450875.2</v>
      </c>
      <c r="AR191" s="45">
        <v>450875.2</v>
      </c>
      <c r="AS191" s="45">
        <v>450875.2</v>
      </c>
    </row>
    <row r="192" spans="1:45" x14ac:dyDescent="0.2">
      <c r="A192" s="4" t="s">
        <v>256</v>
      </c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>
        <v>397445.2</v>
      </c>
      <c r="N192" s="45">
        <v>398747.9</v>
      </c>
      <c r="O192" s="45">
        <v>398255.7</v>
      </c>
      <c r="P192" s="45">
        <v>398429.6</v>
      </c>
      <c r="Q192" s="45">
        <v>398377.7</v>
      </c>
      <c r="R192" s="45">
        <v>399533</v>
      </c>
      <c r="S192" s="45">
        <v>399567.9</v>
      </c>
      <c r="T192" s="45">
        <v>399900.7</v>
      </c>
      <c r="U192" s="45">
        <v>399870.6</v>
      </c>
      <c r="V192" s="45">
        <v>425810.4</v>
      </c>
      <c r="W192" s="45">
        <v>425641.2</v>
      </c>
      <c r="X192" s="45">
        <v>425638.5</v>
      </c>
      <c r="Y192" s="45">
        <v>425657.5</v>
      </c>
      <c r="Z192" s="45">
        <v>425601.7</v>
      </c>
      <c r="AA192" s="45">
        <v>425691.9</v>
      </c>
      <c r="AB192" s="45">
        <v>425695.1</v>
      </c>
      <c r="AC192" s="45">
        <v>425618.9</v>
      </c>
      <c r="AD192" s="45">
        <v>425706</v>
      </c>
      <c r="AE192" s="45">
        <v>425706</v>
      </c>
      <c r="AF192" s="45">
        <v>425706</v>
      </c>
      <c r="AG192" s="45">
        <v>425706</v>
      </c>
      <c r="AH192" s="45">
        <v>425693.4</v>
      </c>
      <c r="AI192" s="45">
        <v>425693.4</v>
      </c>
      <c r="AJ192" s="45">
        <v>425693.4</v>
      </c>
      <c r="AK192" s="45">
        <v>425693.4</v>
      </c>
      <c r="AL192" s="45">
        <v>425840.8</v>
      </c>
      <c r="AM192" s="45">
        <v>425840.8</v>
      </c>
      <c r="AN192" s="45">
        <v>425840.8</v>
      </c>
      <c r="AO192" s="45">
        <v>425840.8</v>
      </c>
      <c r="AP192" s="45">
        <v>452624.9</v>
      </c>
      <c r="AQ192" s="45">
        <v>452624.9</v>
      </c>
      <c r="AR192" s="45">
        <v>452624.9</v>
      </c>
      <c r="AS192" s="45">
        <v>452624.9</v>
      </c>
    </row>
    <row r="193" spans="1:45" x14ac:dyDescent="0.2">
      <c r="A193" s="4" t="s">
        <v>257</v>
      </c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>
        <v>400176.9</v>
      </c>
      <c r="O193" s="45">
        <v>399860.2</v>
      </c>
      <c r="P193" s="45">
        <v>399795.4</v>
      </c>
      <c r="Q193" s="45">
        <v>399830.6</v>
      </c>
      <c r="R193" s="45">
        <v>401288.9</v>
      </c>
      <c r="S193" s="45">
        <v>401031.2</v>
      </c>
      <c r="T193" s="45">
        <v>401493.5</v>
      </c>
      <c r="U193" s="45">
        <v>401552.9</v>
      </c>
      <c r="V193" s="45">
        <v>427473.9</v>
      </c>
      <c r="W193" s="45">
        <v>427247.8</v>
      </c>
      <c r="X193" s="45">
        <v>427258</v>
      </c>
      <c r="Y193" s="45">
        <v>427265.1</v>
      </c>
      <c r="Z193" s="45">
        <v>427313.7</v>
      </c>
      <c r="AA193" s="45">
        <v>427347.4</v>
      </c>
      <c r="AB193" s="45">
        <v>427338.1</v>
      </c>
      <c r="AC193" s="45">
        <v>427368.2</v>
      </c>
      <c r="AD193" s="45">
        <v>427331.4</v>
      </c>
      <c r="AE193" s="45">
        <v>427331.4</v>
      </c>
      <c r="AF193" s="45">
        <v>427331.4</v>
      </c>
      <c r="AG193" s="45">
        <v>427331.4</v>
      </c>
      <c r="AH193" s="45">
        <v>427558.40000000002</v>
      </c>
      <c r="AI193" s="45">
        <v>427558.40000000002</v>
      </c>
      <c r="AJ193" s="45">
        <v>427558.40000000002</v>
      </c>
      <c r="AK193" s="45">
        <v>427558.40000000002</v>
      </c>
      <c r="AL193" s="45">
        <v>427477.2</v>
      </c>
      <c r="AM193" s="45">
        <v>427477.2</v>
      </c>
      <c r="AN193" s="45">
        <v>427477.2</v>
      </c>
      <c r="AO193" s="45">
        <v>427477.2</v>
      </c>
      <c r="AP193" s="45">
        <v>453396.6</v>
      </c>
      <c r="AQ193" s="45">
        <v>453396.6</v>
      </c>
      <c r="AR193" s="45">
        <v>453396.6</v>
      </c>
      <c r="AS193" s="45">
        <v>453396.6</v>
      </c>
    </row>
    <row r="194" spans="1:45" x14ac:dyDescent="0.2">
      <c r="A194" s="4" t="s">
        <v>258</v>
      </c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>
        <v>401108.9</v>
      </c>
      <c r="P194" s="45">
        <v>401202.1</v>
      </c>
      <c r="Q194" s="45">
        <v>401185.9</v>
      </c>
      <c r="R194" s="45">
        <v>402480.9</v>
      </c>
      <c r="S194" s="45">
        <v>402698</v>
      </c>
      <c r="T194" s="45">
        <v>403103</v>
      </c>
      <c r="U194" s="45">
        <v>403066.2</v>
      </c>
      <c r="V194" s="45">
        <v>429644.6</v>
      </c>
      <c r="W194" s="45">
        <v>429455.1</v>
      </c>
      <c r="X194" s="45">
        <v>429527.5</v>
      </c>
      <c r="Y194" s="45">
        <v>429557</v>
      </c>
      <c r="Z194" s="45">
        <v>429691</v>
      </c>
      <c r="AA194" s="45">
        <v>429713.5</v>
      </c>
      <c r="AB194" s="45">
        <v>429700.8</v>
      </c>
      <c r="AC194" s="45">
        <v>429779.7</v>
      </c>
      <c r="AD194" s="45">
        <v>429623.9</v>
      </c>
      <c r="AE194" s="45">
        <v>429623.9</v>
      </c>
      <c r="AF194" s="45">
        <v>429623.9</v>
      </c>
      <c r="AG194" s="45">
        <v>429623.9</v>
      </c>
      <c r="AH194" s="45">
        <v>429856.6</v>
      </c>
      <c r="AI194" s="45">
        <v>429856.6</v>
      </c>
      <c r="AJ194" s="45">
        <v>429856.6</v>
      </c>
      <c r="AK194" s="45">
        <v>429856.6</v>
      </c>
      <c r="AL194" s="45">
        <v>429834.5</v>
      </c>
      <c r="AM194" s="45">
        <v>429834.5</v>
      </c>
      <c r="AN194" s="45">
        <v>429834.5</v>
      </c>
      <c r="AO194" s="45">
        <v>429834.5</v>
      </c>
      <c r="AP194" s="45">
        <v>456101.7</v>
      </c>
      <c r="AQ194" s="45">
        <v>456101.7</v>
      </c>
      <c r="AR194" s="45">
        <v>456101.7</v>
      </c>
      <c r="AS194" s="45">
        <v>456101.7</v>
      </c>
    </row>
    <row r="195" spans="1:45" x14ac:dyDescent="0.2">
      <c r="A195" s="4" t="s">
        <v>259</v>
      </c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>
        <v>402332.4</v>
      </c>
      <c r="Q195" s="45">
        <v>402292.7</v>
      </c>
      <c r="R195" s="45">
        <v>403750.7</v>
      </c>
      <c r="S195" s="45">
        <v>403579</v>
      </c>
      <c r="T195" s="45">
        <v>403982.6</v>
      </c>
      <c r="U195" s="45">
        <v>403882.5</v>
      </c>
      <c r="V195" s="45">
        <v>430017.1</v>
      </c>
      <c r="W195" s="45">
        <v>429747.7</v>
      </c>
      <c r="X195" s="45">
        <v>429552.8</v>
      </c>
      <c r="Y195" s="45">
        <v>429509.3</v>
      </c>
      <c r="Z195" s="45">
        <v>429753.7</v>
      </c>
      <c r="AA195" s="45">
        <v>429737.1</v>
      </c>
      <c r="AB195" s="45">
        <v>429704.9</v>
      </c>
      <c r="AC195" s="45">
        <v>429822.1</v>
      </c>
      <c r="AD195" s="45">
        <v>429550.2</v>
      </c>
      <c r="AE195" s="45">
        <v>429504.6</v>
      </c>
      <c r="AF195" s="45">
        <v>429435.1</v>
      </c>
      <c r="AG195" s="45">
        <v>429465.5</v>
      </c>
      <c r="AH195" s="45">
        <v>429394.3</v>
      </c>
      <c r="AI195" s="45">
        <v>429394.3</v>
      </c>
      <c r="AJ195" s="45">
        <v>429394.3</v>
      </c>
      <c r="AK195" s="45">
        <v>429394.3</v>
      </c>
      <c r="AL195" s="45">
        <v>429419.7</v>
      </c>
      <c r="AM195" s="45">
        <v>429419.7</v>
      </c>
      <c r="AN195" s="45">
        <v>429419.7</v>
      </c>
      <c r="AO195" s="45">
        <v>429419.7</v>
      </c>
      <c r="AP195" s="45">
        <v>455295.6</v>
      </c>
      <c r="AQ195" s="45">
        <v>455295.6</v>
      </c>
      <c r="AR195" s="45">
        <v>455295.6</v>
      </c>
      <c r="AS195" s="45">
        <v>455295.6</v>
      </c>
    </row>
    <row r="196" spans="1:45" x14ac:dyDescent="0.2">
      <c r="A196" s="4" t="s">
        <v>260</v>
      </c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>
        <v>402976.4</v>
      </c>
      <c r="R196" s="45">
        <v>404413.7</v>
      </c>
      <c r="S196" s="45">
        <v>403853</v>
      </c>
      <c r="T196" s="45">
        <v>403984.8</v>
      </c>
      <c r="U196" s="45">
        <v>403991.6</v>
      </c>
      <c r="V196" s="45">
        <v>429689</v>
      </c>
      <c r="W196" s="45">
        <v>429547.2</v>
      </c>
      <c r="X196" s="45">
        <v>429499.8</v>
      </c>
      <c r="Y196" s="45">
        <v>429536.7</v>
      </c>
      <c r="Z196" s="45">
        <v>430276.9</v>
      </c>
      <c r="AA196" s="45">
        <v>430024.7</v>
      </c>
      <c r="AB196" s="45">
        <v>429943.4</v>
      </c>
      <c r="AC196" s="45">
        <v>429749</v>
      </c>
      <c r="AD196" s="45">
        <v>429568.5</v>
      </c>
      <c r="AE196" s="45">
        <v>429678.2</v>
      </c>
      <c r="AF196" s="45">
        <v>429637.9</v>
      </c>
      <c r="AG196" s="45">
        <v>429568.7</v>
      </c>
      <c r="AH196" s="45">
        <v>429586.2</v>
      </c>
      <c r="AI196" s="45">
        <v>429586.2</v>
      </c>
      <c r="AJ196" s="45">
        <v>429586.2</v>
      </c>
      <c r="AK196" s="45">
        <v>429586.2</v>
      </c>
      <c r="AL196" s="45">
        <v>429678.4</v>
      </c>
      <c r="AM196" s="45">
        <v>429678.4</v>
      </c>
      <c r="AN196" s="45">
        <v>429678.4</v>
      </c>
      <c r="AO196" s="45">
        <v>429678.4</v>
      </c>
      <c r="AP196" s="45">
        <v>456236.4</v>
      </c>
      <c r="AQ196" s="45">
        <v>456236.4</v>
      </c>
      <c r="AR196" s="45">
        <v>456236.4</v>
      </c>
      <c r="AS196" s="45">
        <v>456236.4</v>
      </c>
    </row>
    <row r="197" spans="1:45" x14ac:dyDescent="0.2">
      <c r="A197" s="4" t="s">
        <v>261</v>
      </c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>
        <v>403919</v>
      </c>
      <c r="S197" s="45">
        <v>403273.8</v>
      </c>
      <c r="T197" s="45">
        <v>403468.79999999999</v>
      </c>
      <c r="U197" s="45">
        <v>403491.9</v>
      </c>
      <c r="V197" s="45">
        <v>429096.4</v>
      </c>
      <c r="W197" s="45">
        <v>429104.5</v>
      </c>
      <c r="X197" s="45">
        <v>429175.2</v>
      </c>
      <c r="Y197" s="45">
        <v>429182.3</v>
      </c>
      <c r="Z197" s="45">
        <v>430007.2</v>
      </c>
      <c r="AA197" s="45">
        <v>429989.2</v>
      </c>
      <c r="AB197" s="45">
        <v>430011.9</v>
      </c>
      <c r="AC197" s="45">
        <v>430055</v>
      </c>
      <c r="AD197" s="45">
        <v>429883.2</v>
      </c>
      <c r="AE197" s="45">
        <v>430102.1</v>
      </c>
      <c r="AF197" s="45">
        <v>430076.5</v>
      </c>
      <c r="AG197" s="45">
        <v>430084.1</v>
      </c>
      <c r="AH197" s="45">
        <v>430128.3</v>
      </c>
      <c r="AI197" s="45">
        <v>430128.3</v>
      </c>
      <c r="AJ197" s="45">
        <v>430128.3</v>
      </c>
      <c r="AK197" s="45">
        <v>430128.3</v>
      </c>
      <c r="AL197" s="45">
        <v>430011.5</v>
      </c>
      <c r="AM197" s="45">
        <v>430011.5</v>
      </c>
      <c r="AN197" s="45">
        <v>430011.5</v>
      </c>
      <c r="AO197" s="45">
        <v>430011.5</v>
      </c>
      <c r="AP197" s="45">
        <v>456218.2</v>
      </c>
      <c r="AQ197" s="45">
        <v>456218.2</v>
      </c>
      <c r="AR197" s="45">
        <v>456218.2</v>
      </c>
      <c r="AS197" s="45">
        <v>456218.2</v>
      </c>
    </row>
    <row r="198" spans="1:45" x14ac:dyDescent="0.2">
      <c r="A198" s="4" t="s">
        <v>262</v>
      </c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>
        <v>402822.5</v>
      </c>
      <c r="T198" s="45">
        <v>403103.8</v>
      </c>
      <c r="U198" s="45">
        <v>403173.9</v>
      </c>
      <c r="V198" s="45">
        <v>429409.3</v>
      </c>
      <c r="W198" s="45">
        <v>429664.7</v>
      </c>
      <c r="X198" s="45">
        <v>429836.1</v>
      </c>
      <c r="Y198" s="45">
        <v>429835.5</v>
      </c>
      <c r="Z198" s="45">
        <v>430493.4</v>
      </c>
      <c r="AA198" s="45">
        <v>430871</v>
      </c>
      <c r="AB198" s="45">
        <v>430962</v>
      </c>
      <c r="AC198" s="45">
        <v>430996</v>
      </c>
      <c r="AD198" s="45">
        <v>431351</v>
      </c>
      <c r="AE198" s="45">
        <v>431207.7</v>
      </c>
      <c r="AF198" s="45">
        <v>431343</v>
      </c>
      <c r="AG198" s="45">
        <v>431374.3</v>
      </c>
      <c r="AH198" s="45">
        <v>431383.9</v>
      </c>
      <c r="AI198" s="45">
        <v>431383.9</v>
      </c>
      <c r="AJ198" s="45">
        <v>431383.9</v>
      </c>
      <c r="AK198" s="45">
        <v>431383.9</v>
      </c>
      <c r="AL198" s="45">
        <v>431297.4</v>
      </c>
      <c r="AM198" s="45">
        <v>431297.4</v>
      </c>
      <c r="AN198" s="45">
        <v>431297.4</v>
      </c>
      <c r="AO198" s="45">
        <v>431297.4</v>
      </c>
      <c r="AP198" s="45">
        <v>457575.5</v>
      </c>
      <c r="AQ198" s="45">
        <v>457575.5</v>
      </c>
      <c r="AR198" s="45">
        <v>457575.5</v>
      </c>
      <c r="AS198" s="45">
        <v>457575.5</v>
      </c>
    </row>
    <row r="199" spans="1:45" x14ac:dyDescent="0.2">
      <c r="A199" s="4" t="s">
        <v>263</v>
      </c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>
        <v>403596</v>
      </c>
      <c r="U199" s="45">
        <v>403659</v>
      </c>
      <c r="V199" s="45">
        <v>429946.5</v>
      </c>
      <c r="W199" s="45">
        <v>430659.5</v>
      </c>
      <c r="X199" s="45">
        <v>430767.4</v>
      </c>
      <c r="Y199" s="45">
        <v>430663</v>
      </c>
      <c r="Z199" s="45">
        <v>431224.7</v>
      </c>
      <c r="AA199" s="45">
        <v>431432.7</v>
      </c>
      <c r="AB199" s="45">
        <v>431038.1</v>
      </c>
      <c r="AC199" s="45">
        <v>431187.6</v>
      </c>
      <c r="AD199" s="45">
        <v>431529.1</v>
      </c>
      <c r="AE199" s="45">
        <v>432166.2</v>
      </c>
      <c r="AF199" s="45">
        <v>432166.3</v>
      </c>
      <c r="AG199" s="45">
        <v>432202.4</v>
      </c>
      <c r="AH199" s="45">
        <v>432201.3</v>
      </c>
      <c r="AI199" s="45">
        <v>432201.8</v>
      </c>
      <c r="AJ199" s="45">
        <v>432161.3</v>
      </c>
      <c r="AK199" s="45">
        <v>432134</v>
      </c>
      <c r="AL199" s="45">
        <v>431670.6</v>
      </c>
      <c r="AM199" s="45">
        <v>431670.6</v>
      </c>
      <c r="AN199" s="45">
        <v>431670.6</v>
      </c>
      <c r="AO199" s="45">
        <v>431670.6</v>
      </c>
      <c r="AP199" s="45">
        <v>458561.7</v>
      </c>
      <c r="AQ199" s="45">
        <v>458561.7</v>
      </c>
      <c r="AR199" s="45">
        <v>458561.7</v>
      </c>
      <c r="AS199" s="45">
        <v>458561.7</v>
      </c>
    </row>
    <row r="200" spans="1:45" x14ac:dyDescent="0.2">
      <c r="A200" s="4" t="s">
        <v>264</v>
      </c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>
        <v>403786.1</v>
      </c>
      <c r="V200" s="45">
        <v>430210.2</v>
      </c>
      <c r="W200" s="45">
        <v>431114.8</v>
      </c>
      <c r="X200" s="45">
        <v>431082.7</v>
      </c>
      <c r="Y200" s="45">
        <v>431193.3</v>
      </c>
      <c r="Z200" s="45">
        <v>432062.3</v>
      </c>
      <c r="AA200" s="45">
        <v>431986.1</v>
      </c>
      <c r="AB200" s="45">
        <v>431780.4</v>
      </c>
      <c r="AC200" s="45">
        <v>431505.8</v>
      </c>
      <c r="AD200" s="45">
        <v>432308.6</v>
      </c>
      <c r="AE200" s="45">
        <v>433490.4</v>
      </c>
      <c r="AF200" s="45">
        <v>433509.5</v>
      </c>
      <c r="AG200" s="45">
        <v>433392.8</v>
      </c>
      <c r="AH200" s="45">
        <v>433165.4</v>
      </c>
      <c r="AI200" s="45">
        <v>433133.4</v>
      </c>
      <c r="AJ200" s="45">
        <v>433157.2</v>
      </c>
      <c r="AK200" s="45">
        <v>433174.7</v>
      </c>
      <c r="AL200" s="45">
        <v>433098.4</v>
      </c>
      <c r="AM200" s="45">
        <v>433098.4</v>
      </c>
      <c r="AN200" s="45">
        <v>433098.4</v>
      </c>
      <c r="AO200" s="45">
        <v>433098.4</v>
      </c>
      <c r="AP200" s="45">
        <v>459828</v>
      </c>
      <c r="AQ200" s="45">
        <v>459828</v>
      </c>
      <c r="AR200" s="45">
        <v>459828</v>
      </c>
      <c r="AS200" s="45">
        <v>459828</v>
      </c>
    </row>
    <row r="201" spans="1:45" x14ac:dyDescent="0.2">
      <c r="A201" s="4" t="s">
        <v>265</v>
      </c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5">
        <v>430459.2</v>
      </c>
      <c r="W201" s="45">
        <v>431357.2</v>
      </c>
      <c r="X201" s="45">
        <v>431192.8</v>
      </c>
      <c r="Y201" s="45">
        <v>431143.6</v>
      </c>
      <c r="Z201" s="45">
        <v>432240.8</v>
      </c>
      <c r="AA201" s="45">
        <v>431998.7</v>
      </c>
      <c r="AB201" s="45">
        <v>432196</v>
      </c>
      <c r="AC201" s="45">
        <v>432321.2</v>
      </c>
      <c r="AD201" s="45">
        <v>432673</v>
      </c>
      <c r="AE201" s="45">
        <v>433447</v>
      </c>
      <c r="AF201" s="45">
        <v>433443.6</v>
      </c>
      <c r="AG201" s="45">
        <v>433475.1</v>
      </c>
      <c r="AH201" s="45">
        <v>433492</v>
      </c>
      <c r="AI201" s="45">
        <v>433401</v>
      </c>
      <c r="AJ201" s="45">
        <v>433414.40000000002</v>
      </c>
      <c r="AK201" s="45">
        <v>433444.3</v>
      </c>
      <c r="AL201" s="45">
        <v>433366</v>
      </c>
      <c r="AM201" s="45">
        <v>433366</v>
      </c>
      <c r="AN201" s="45">
        <v>433366</v>
      </c>
      <c r="AO201" s="45">
        <v>433366</v>
      </c>
      <c r="AP201" s="45">
        <v>458126.3</v>
      </c>
      <c r="AQ201" s="45">
        <v>458126.3</v>
      </c>
      <c r="AR201" s="45">
        <v>458126.3</v>
      </c>
      <c r="AS201" s="45">
        <v>458126.3</v>
      </c>
    </row>
    <row r="202" spans="1:45" x14ac:dyDescent="0.2">
      <c r="A202" s="4" t="s">
        <v>266</v>
      </c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5"/>
      <c r="W202" s="45">
        <v>430058.5</v>
      </c>
      <c r="X202" s="45">
        <v>430146.5</v>
      </c>
      <c r="Y202" s="45">
        <v>430189.3</v>
      </c>
      <c r="Z202" s="45">
        <v>430841.9</v>
      </c>
      <c r="AA202" s="45">
        <v>430094.2</v>
      </c>
      <c r="AB202" s="45">
        <v>430497.3</v>
      </c>
      <c r="AC202" s="45">
        <v>430497.2</v>
      </c>
      <c r="AD202" s="45">
        <v>430855.6</v>
      </c>
      <c r="AE202" s="45">
        <v>429944.3</v>
      </c>
      <c r="AF202" s="45">
        <v>429928.7</v>
      </c>
      <c r="AG202" s="45">
        <v>429977.8</v>
      </c>
      <c r="AH202" s="45">
        <v>429906.3</v>
      </c>
      <c r="AI202" s="45">
        <v>429930.2</v>
      </c>
      <c r="AJ202" s="45">
        <v>429933.5</v>
      </c>
      <c r="AK202" s="45">
        <v>429913.4</v>
      </c>
      <c r="AL202" s="45">
        <v>430532.6</v>
      </c>
      <c r="AM202" s="45">
        <v>430532.6</v>
      </c>
      <c r="AN202" s="45">
        <v>430532.6</v>
      </c>
      <c r="AO202" s="45">
        <v>430532.6</v>
      </c>
      <c r="AP202" s="45">
        <v>456422.5</v>
      </c>
      <c r="AQ202" s="45">
        <v>456422.5</v>
      </c>
      <c r="AR202" s="45">
        <v>456422.5</v>
      </c>
      <c r="AS202" s="45">
        <v>456422.5</v>
      </c>
    </row>
    <row r="203" spans="1:45" x14ac:dyDescent="0.2">
      <c r="A203" s="4" t="s">
        <v>267</v>
      </c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5"/>
      <c r="W203" s="45"/>
      <c r="X203" s="45">
        <v>407308.2</v>
      </c>
      <c r="Y203" s="45">
        <v>406703.5</v>
      </c>
      <c r="Z203" s="45">
        <v>407169</v>
      </c>
      <c r="AA203" s="45">
        <v>406419.4</v>
      </c>
      <c r="AB203" s="45">
        <v>405998</v>
      </c>
      <c r="AC203" s="45">
        <v>406182</v>
      </c>
      <c r="AD203" s="45">
        <v>406211.6</v>
      </c>
      <c r="AE203" s="45">
        <v>404599.3</v>
      </c>
      <c r="AF203" s="45">
        <v>404504.2</v>
      </c>
      <c r="AG203" s="45">
        <v>404516.5</v>
      </c>
      <c r="AH203" s="45">
        <v>404713.6</v>
      </c>
      <c r="AI203" s="45">
        <v>405077.3</v>
      </c>
      <c r="AJ203" s="45">
        <v>405063.8</v>
      </c>
      <c r="AK203" s="45">
        <v>404988.8</v>
      </c>
      <c r="AL203" s="45">
        <v>404519.4</v>
      </c>
      <c r="AM203" s="45">
        <v>404435.7</v>
      </c>
      <c r="AN203" s="45">
        <v>404572.4</v>
      </c>
      <c r="AO203" s="45">
        <v>404546.5</v>
      </c>
      <c r="AP203" s="45">
        <v>429874.8</v>
      </c>
      <c r="AQ203" s="45">
        <v>429874.8</v>
      </c>
      <c r="AR203" s="45">
        <v>429874.8</v>
      </c>
      <c r="AS203" s="45">
        <v>429874.8</v>
      </c>
    </row>
    <row r="204" spans="1:45" x14ac:dyDescent="0.2">
      <c r="A204" s="4" t="s">
        <v>268</v>
      </c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5"/>
      <c r="W204" s="45"/>
      <c r="X204" s="45"/>
      <c r="Y204" s="45">
        <v>354678.7</v>
      </c>
      <c r="Z204" s="45">
        <v>354262.9</v>
      </c>
      <c r="AA204" s="45">
        <v>353552.5</v>
      </c>
      <c r="AB204" s="45">
        <v>353497.7</v>
      </c>
      <c r="AC204" s="45">
        <v>353132.7</v>
      </c>
      <c r="AD204" s="45">
        <v>353930.6</v>
      </c>
      <c r="AE204" s="45">
        <v>353495.5</v>
      </c>
      <c r="AF204" s="45">
        <v>353511.6</v>
      </c>
      <c r="AG204" s="45">
        <v>353305.7</v>
      </c>
      <c r="AH204" s="45">
        <v>355740.9</v>
      </c>
      <c r="AI204" s="45">
        <v>356177.6</v>
      </c>
      <c r="AJ204" s="45">
        <v>356296.3</v>
      </c>
      <c r="AK204" s="45">
        <v>356376.7</v>
      </c>
      <c r="AL204" s="45">
        <v>357140.2</v>
      </c>
      <c r="AM204" s="45">
        <v>356553.4</v>
      </c>
      <c r="AN204" s="45">
        <v>356753</v>
      </c>
      <c r="AO204" s="45">
        <v>356805.7</v>
      </c>
      <c r="AP204" s="45">
        <v>376881</v>
      </c>
      <c r="AQ204" s="45">
        <v>376881</v>
      </c>
      <c r="AR204" s="45">
        <v>376881</v>
      </c>
      <c r="AS204" s="45">
        <v>376881</v>
      </c>
    </row>
    <row r="205" spans="1:45" x14ac:dyDescent="0.2">
      <c r="A205" s="4" t="s">
        <v>269</v>
      </c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5"/>
      <c r="W205" s="45"/>
      <c r="X205" s="45"/>
      <c r="Y205" s="45"/>
      <c r="Z205" s="45">
        <v>410569.3</v>
      </c>
      <c r="AA205" s="45">
        <v>409680.1</v>
      </c>
      <c r="AB205" s="45">
        <v>409566.3</v>
      </c>
      <c r="AC205" s="45">
        <v>409694.5</v>
      </c>
      <c r="AD205" s="45">
        <v>409219.3</v>
      </c>
      <c r="AE205" s="45">
        <v>410099.1</v>
      </c>
      <c r="AF205" s="45">
        <v>410154.9</v>
      </c>
      <c r="AG205" s="45">
        <v>410253.3</v>
      </c>
      <c r="AH205" s="45">
        <v>407146.9</v>
      </c>
      <c r="AI205" s="45">
        <v>406938.4</v>
      </c>
      <c r="AJ205" s="45">
        <v>406907.3</v>
      </c>
      <c r="AK205" s="45">
        <v>406955.7</v>
      </c>
      <c r="AL205" s="45">
        <v>406169.8</v>
      </c>
      <c r="AM205" s="45">
        <v>406787.2</v>
      </c>
      <c r="AN205" s="45">
        <v>406416.1</v>
      </c>
      <c r="AO205" s="45">
        <v>406426.2</v>
      </c>
      <c r="AP205" s="45">
        <v>431181.9</v>
      </c>
      <c r="AQ205" s="45">
        <v>431181.9</v>
      </c>
      <c r="AR205" s="45">
        <v>431181.9</v>
      </c>
      <c r="AS205" s="45">
        <v>431181.9</v>
      </c>
    </row>
    <row r="206" spans="1:45" x14ac:dyDescent="0.2">
      <c r="A206" s="4" t="s">
        <v>270</v>
      </c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5"/>
      <c r="W206" s="45"/>
      <c r="X206" s="45"/>
      <c r="Y206" s="45"/>
      <c r="Z206" s="45"/>
      <c r="AA206" s="45">
        <v>401776.8</v>
      </c>
      <c r="AB206" s="45">
        <v>402367.3</v>
      </c>
      <c r="AC206" s="45">
        <v>402420.1</v>
      </c>
      <c r="AD206" s="45">
        <v>402567.2</v>
      </c>
      <c r="AE206" s="45">
        <v>403678</v>
      </c>
      <c r="AF206" s="45">
        <v>403703.5</v>
      </c>
      <c r="AG206" s="45">
        <v>403798.8</v>
      </c>
      <c r="AH206" s="45">
        <v>403820.1</v>
      </c>
      <c r="AI206" s="45">
        <v>404140.4</v>
      </c>
      <c r="AJ206" s="45">
        <v>404066.3</v>
      </c>
      <c r="AK206" s="45">
        <v>404012.5</v>
      </c>
      <c r="AL206" s="45">
        <v>404563.6</v>
      </c>
      <c r="AM206" s="45">
        <v>404453.6</v>
      </c>
      <c r="AN206" s="45">
        <v>404488.6</v>
      </c>
      <c r="AO206" s="45">
        <v>404451.6</v>
      </c>
      <c r="AP206" s="45">
        <v>430917.4</v>
      </c>
      <c r="AQ206" s="45">
        <v>430917.4</v>
      </c>
      <c r="AR206" s="45">
        <v>430917.4</v>
      </c>
      <c r="AS206" s="45">
        <v>430917.4</v>
      </c>
    </row>
    <row r="207" spans="1:45" x14ac:dyDescent="0.2">
      <c r="A207" s="4" t="s">
        <v>271</v>
      </c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5"/>
      <c r="W207" s="45"/>
      <c r="X207" s="45"/>
      <c r="Y207" s="45"/>
      <c r="Z207" s="45"/>
      <c r="AA207" s="45"/>
      <c r="AB207" s="45">
        <v>402919.6</v>
      </c>
      <c r="AC207" s="45">
        <v>403334.40000000002</v>
      </c>
      <c r="AD207" s="45">
        <v>403684.4</v>
      </c>
      <c r="AE207" s="45">
        <v>405060.6</v>
      </c>
      <c r="AF207" s="45">
        <v>404657.1</v>
      </c>
      <c r="AG207" s="45">
        <v>404609.6</v>
      </c>
      <c r="AH207" s="45">
        <v>405047.2</v>
      </c>
      <c r="AI207" s="45">
        <v>406072.3</v>
      </c>
      <c r="AJ207" s="45">
        <v>406003</v>
      </c>
      <c r="AK207" s="45">
        <v>405850.1</v>
      </c>
      <c r="AL207" s="45">
        <v>411077.8</v>
      </c>
      <c r="AM207" s="45">
        <v>410661.7</v>
      </c>
      <c r="AN207" s="45">
        <v>410558.8</v>
      </c>
      <c r="AO207" s="45">
        <v>410591.9</v>
      </c>
      <c r="AP207" s="45">
        <v>437899.7</v>
      </c>
      <c r="AQ207" s="45">
        <v>438808.1</v>
      </c>
      <c r="AR207" s="45">
        <v>438568.8</v>
      </c>
      <c r="AS207" s="45">
        <v>438548.3</v>
      </c>
    </row>
    <row r="208" spans="1:45" x14ac:dyDescent="0.2">
      <c r="A208" s="4" t="s">
        <v>272</v>
      </c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5"/>
      <c r="W208" s="45"/>
      <c r="X208" s="45"/>
      <c r="Y208" s="45"/>
      <c r="Z208" s="45"/>
      <c r="AA208" s="45"/>
      <c r="AB208" s="45"/>
      <c r="AC208" s="45">
        <v>414142.6</v>
      </c>
      <c r="AD208" s="45">
        <v>414464.5</v>
      </c>
      <c r="AE208" s="45">
        <v>415882.2</v>
      </c>
      <c r="AF208" s="45">
        <v>415536.3</v>
      </c>
      <c r="AG208" s="45">
        <v>415260.7</v>
      </c>
      <c r="AH208" s="45">
        <v>415112.8</v>
      </c>
      <c r="AI208" s="45">
        <v>415889.9</v>
      </c>
      <c r="AJ208" s="45">
        <v>415989.4</v>
      </c>
      <c r="AK208" s="45">
        <v>416113.8</v>
      </c>
      <c r="AL208" s="45">
        <v>421611.9</v>
      </c>
      <c r="AM208" s="45">
        <v>421361.8</v>
      </c>
      <c r="AN208" s="45">
        <v>421398.4</v>
      </c>
      <c r="AO208" s="45">
        <v>421432.4</v>
      </c>
      <c r="AP208" s="45">
        <v>448380.1</v>
      </c>
      <c r="AQ208" s="45">
        <v>449103.7</v>
      </c>
      <c r="AR208" s="45">
        <v>449265.3</v>
      </c>
      <c r="AS208" s="45">
        <v>449303.4</v>
      </c>
    </row>
    <row r="209" spans="1:45" x14ac:dyDescent="0.2">
      <c r="A209" s="4" t="s">
        <v>273</v>
      </c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5"/>
      <c r="W209" s="45"/>
      <c r="X209" s="45"/>
      <c r="Y209" s="45"/>
      <c r="Z209" s="45"/>
      <c r="AA209" s="45"/>
      <c r="AB209" s="45"/>
      <c r="AC209" s="45"/>
      <c r="AD209" s="45">
        <v>425375</v>
      </c>
      <c r="AE209" s="45">
        <v>426249.3</v>
      </c>
      <c r="AF209" s="45">
        <v>426434.1</v>
      </c>
      <c r="AG209" s="45">
        <v>426619</v>
      </c>
      <c r="AH209" s="45">
        <v>426605.3</v>
      </c>
      <c r="AI209" s="45">
        <v>427958.8</v>
      </c>
      <c r="AJ209" s="45">
        <v>428015.4</v>
      </c>
      <c r="AK209" s="45">
        <v>428122</v>
      </c>
      <c r="AL209" s="45">
        <v>433286.7</v>
      </c>
      <c r="AM209" s="45">
        <v>433290.6</v>
      </c>
      <c r="AN209" s="45">
        <v>433398.1</v>
      </c>
      <c r="AO209" s="45">
        <v>433397.1</v>
      </c>
      <c r="AP209" s="45">
        <v>462495.4</v>
      </c>
      <c r="AQ209" s="45">
        <v>460474.4</v>
      </c>
      <c r="AR209" s="45">
        <v>460441.5</v>
      </c>
      <c r="AS209" s="45">
        <v>460467.6</v>
      </c>
    </row>
    <row r="210" spans="1:45" x14ac:dyDescent="0.2">
      <c r="A210" s="4" t="s">
        <v>274</v>
      </c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5"/>
      <c r="W210" s="45"/>
      <c r="X210" s="45"/>
      <c r="Y210" s="45"/>
      <c r="Z210" s="45"/>
      <c r="AA210" s="45"/>
      <c r="AB210" s="45"/>
      <c r="AC210" s="45"/>
      <c r="AD210" s="45"/>
      <c r="AE210" s="45">
        <v>428681.7</v>
      </c>
      <c r="AF210" s="45">
        <v>429370.3</v>
      </c>
      <c r="AG210" s="45">
        <v>429508.5</v>
      </c>
      <c r="AH210" s="45">
        <v>430214.2</v>
      </c>
      <c r="AI210" s="45">
        <v>431919.3</v>
      </c>
      <c r="AJ210" s="45">
        <v>431832.4</v>
      </c>
      <c r="AK210" s="45">
        <v>431754.4</v>
      </c>
      <c r="AL210" s="45">
        <v>436781.3</v>
      </c>
      <c r="AM210" s="45">
        <v>437070</v>
      </c>
      <c r="AN210" s="45">
        <v>437028.8</v>
      </c>
      <c r="AO210" s="45">
        <v>436962.7</v>
      </c>
      <c r="AP210" s="45">
        <v>466837.3</v>
      </c>
      <c r="AQ210" s="45">
        <v>467465.5</v>
      </c>
      <c r="AR210" s="45">
        <v>467576.2</v>
      </c>
      <c r="AS210" s="45">
        <v>467532.5</v>
      </c>
    </row>
    <row r="211" spans="1:45" x14ac:dyDescent="0.2">
      <c r="A211" s="4" t="s">
        <v>275</v>
      </c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>
        <v>429931.4</v>
      </c>
      <c r="AG211" s="45">
        <v>429990.6</v>
      </c>
      <c r="AH211" s="45">
        <v>430904.8</v>
      </c>
      <c r="AI211" s="45">
        <v>432480.3</v>
      </c>
      <c r="AJ211" s="45">
        <v>432440.8</v>
      </c>
      <c r="AK211" s="45">
        <v>432102</v>
      </c>
      <c r="AL211" s="45">
        <v>437162.2</v>
      </c>
      <c r="AM211" s="45">
        <v>437703.7</v>
      </c>
      <c r="AN211" s="45">
        <v>437729.7</v>
      </c>
      <c r="AO211" s="45">
        <v>437800.7</v>
      </c>
      <c r="AP211" s="45">
        <v>469159.7</v>
      </c>
      <c r="AQ211" s="45">
        <v>471313.6</v>
      </c>
      <c r="AR211" s="45">
        <v>470913.1</v>
      </c>
      <c r="AS211" s="45">
        <v>470949.2</v>
      </c>
    </row>
    <row r="212" spans="1:45" x14ac:dyDescent="0.2">
      <c r="A212" s="4" t="s">
        <v>276</v>
      </c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>
        <v>434868.9</v>
      </c>
      <c r="AH212" s="45">
        <v>435787.2</v>
      </c>
      <c r="AI212" s="45">
        <v>436938.9</v>
      </c>
      <c r="AJ212" s="45">
        <v>436930.5</v>
      </c>
      <c r="AK212" s="45">
        <v>437248.5</v>
      </c>
      <c r="AL212" s="45">
        <v>443252.8</v>
      </c>
      <c r="AM212" s="45">
        <v>444004.1</v>
      </c>
      <c r="AN212" s="45">
        <v>443890.3</v>
      </c>
      <c r="AO212" s="45">
        <v>443952.4</v>
      </c>
      <c r="AP212" s="45">
        <v>476477.9</v>
      </c>
      <c r="AQ212" s="45">
        <v>477712.1</v>
      </c>
      <c r="AR212" s="45">
        <v>477748.7</v>
      </c>
      <c r="AS212" s="45">
        <v>477840.5</v>
      </c>
    </row>
    <row r="213" spans="1:45" x14ac:dyDescent="0.2">
      <c r="A213" s="4" t="s">
        <v>277</v>
      </c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>
        <v>437795.2</v>
      </c>
      <c r="AI213" s="45">
        <v>438674.8</v>
      </c>
      <c r="AJ213" s="45">
        <v>438619.9</v>
      </c>
      <c r="AK213" s="45">
        <v>438763.7</v>
      </c>
      <c r="AL213" s="45">
        <v>444587.4</v>
      </c>
      <c r="AM213" s="45">
        <v>445526.6</v>
      </c>
      <c r="AN213" s="45">
        <v>445733.5</v>
      </c>
      <c r="AO213" s="45">
        <v>445731.7</v>
      </c>
      <c r="AP213" s="45">
        <v>479180</v>
      </c>
      <c r="AQ213" s="45">
        <v>478936</v>
      </c>
      <c r="AR213" s="45">
        <v>479054.2</v>
      </c>
      <c r="AS213" s="45">
        <v>479065.1</v>
      </c>
    </row>
    <row r="214" spans="1:45" x14ac:dyDescent="0.2">
      <c r="A214" s="4" t="s">
        <v>278</v>
      </c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>
        <v>438100.7</v>
      </c>
      <c r="AJ214" s="45">
        <v>438203.4</v>
      </c>
      <c r="AK214" s="45">
        <v>438080.5</v>
      </c>
      <c r="AL214" s="45">
        <v>443920.1</v>
      </c>
      <c r="AM214" s="45">
        <v>445716.7</v>
      </c>
      <c r="AN214" s="45">
        <v>445597.6</v>
      </c>
      <c r="AO214" s="45">
        <v>445466.3</v>
      </c>
      <c r="AP214" s="45">
        <v>478103.5</v>
      </c>
      <c r="AQ214" s="45">
        <v>478224.4</v>
      </c>
      <c r="AR214" s="45">
        <v>478470.2</v>
      </c>
      <c r="AS214" s="45">
        <v>478331.4</v>
      </c>
    </row>
    <row r="215" spans="1:45" x14ac:dyDescent="0.2">
      <c r="A215" s="4" t="s">
        <v>279</v>
      </c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>
        <v>440644.8</v>
      </c>
      <c r="AK215" s="45">
        <v>440753.8</v>
      </c>
      <c r="AL215" s="45">
        <v>446443.4</v>
      </c>
      <c r="AM215" s="45">
        <v>447870.5</v>
      </c>
      <c r="AN215" s="45">
        <v>447154.4</v>
      </c>
      <c r="AO215" s="45">
        <v>447325.3</v>
      </c>
      <c r="AP215" s="45">
        <v>479740.7</v>
      </c>
      <c r="AQ215" s="45">
        <v>481248</v>
      </c>
      <c r="AR215" s="45">
        <v>480715.4</v>
      </c>
      <c r="AS215" s="45">
        <v>480507.8</v>
      </c>
    </row>
    <row r="216" spans="1:45" x14ac:dyDescent="0.2">
      <c r="A216" s="4" t="s">
        <v>280</v>
      </c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>
        <v>438984</v>
      </c>
      <c r="AL216" s="45">
        <v>444761.4</v>
      </c>
      <c r="AM216" s="45">
        <v>446755.1</v>
      </c>
      <c r="AN216" s="45">
        <v>446614.4</v>
      </c>
      <c r="AO216" s="45">
        <v>446830</v>
      </c>
      <c r="AP216" s="45">
        <v>478808.6</v>
      </c>
      <c r="AQ216" s="45">
        <v>479787.2</v>
      </c>
      <c r="AR216" s="45">
        <v>479723.5</v>
      </c>
      <c r="AS216" s="45">
        <v>479729.3</v>
      </c>
    </row>
    <row r="217" spans="1:45" x14ac:dyDescent="0.2">
      <c r="A217" s="4" t="s">
        <v>281</v>
      </c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>
        <v>445201.1</v>
      </c>
      <c r="AM217" s="45">
        <v>447810</v>
      </c>
      <c r="AN217" s="45">
        <v>448298.4</v>
      </c>
      <c r="AO217" s="45">
        <v>448261.7</v>
      </c>
      <c r="AP217" s="45">
        <v>479832.3</v>
      </c>
      <c r="AQ217" s="45">
        <v>479853</v>
      </c>
      <c r="AR217" s="45">
        <v>480164.1</v>
      </c>
      <c r="AS217" s="45">
        <v>480335.5</v>
      </c>
    </row>
    <row r="218" spans="1:45" x14ac:dyDescent="0.2">
      <c r="A218" s="4" t="s">
        <v>282</v>
      </c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5"/>
      <c r="AM218" s="45">
        <v>448551.1</v>
      </c>
      <c r="AN218" s="45">
        <v>448919.7</v>
      </c>
      <c r="AO218" s="45">
        <v>448569.8</v>
      </c>
      <c r="AP218" s="45">
        <v>479656.3</v>
      </c>
      <c r="AQ218" s="45">
        <v>480817.5</v>
      </c>
      <c r="AR218" s="45">
        <v>481102.7</v>
      </c>
      <c r="AS218" s="45">
        <v>481133</v>
      </c>
    </row>
    <row r="219" spans="1:45" x14ac:dyDescent="0.2">
      <c r="A219" s="4" t="s">
        <v>283</v>
      </c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45"/>
      <c r="AN219" s="45">
        <v>450460.6</v>
      </c>
      <c r="AO219" s="45">
        <v>450056</v>
      </c>
      <c r="AP219" s="45">
        <v>481209.4</v>
      </c>
      <c r="AQ219" s="45">
        <v>482455.7</v>
      </c>
      <c r="AR219" s="45">
        <v>481966.4</v>
      </c>
      <c r="AS219" s="45">
        <v>481896.9</v>
      </c>
    </row>
    <row r="220" spans="1:45" x14ac:dyDescent="0.2">
      <c r="A220" s="4" t="s">
        <v>284</v>
      </c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  <c r="AL220" s="45"/>
      <c r="AM220" s="45"/>
      <c r="AN220" s="45"/>
      <c r="AO220" s="45">
        <v>450759.4</v>
      </c>
      <c r="AP220" s="45">
        <v>481997</v>
      </c>
      <c r="AQ220" s="45">
        <v>482821.2</v>
      </c>
      <c r="AR220" s="45">
        <v>482925.5</v>
      </c>
      <c r="AS220" s="45">
        <v>482932.8</v>
      </c>
    </row>
    <row r="221" spans="1:45" x14ac:dyDescent="0.2">
      <c r="A221" s="4" t="s">
        <v>285</v>
      </c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6"/>
      <c r="AN221" s="46"/>
      <c r="AO221" s="46"/>
      <c r="AP221" s="45">
        <v>481980.5</v>
      </c>
      <c r="AQ221" s="45">
        <v>482879.5</v>
      </c>
      <c r="AR221" s="45">
        <v>482892</v>
      </c>
      <c r="AS221" s="45">
        <v>482951.2</v>
      </c>
    </row>
    <row r="222" spans="1:45" x14ac:dyDescent="0.2">
      <c r="A222" s="4" t="s">
        <v>286</v>
      </c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  <c r="AO222" s="46"/>
      <c r="AP222" s="45"/>
      <c r="AQ222" s="45">
        <v>483534.1</v>
      </c>
      <c r="AR222" s="45">
        <v>483906.6</v>
      </c>
      <c r="AS222" s="45">
        <v>483909.6</v>
      </c>
    </row>
    <row r="223" spans="1:45" x14ac:dyDescent="0.2">
      <c r="A223" s="4" t="s">
        <v>294</v>
      </c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6"/>
      <c r="AN223" s="46"/>
      <c r="AO223" s="46"/>
      <c r="AP223" s="45"/>
      <c r="AQ223" s="45"/>
      <c r="AR223" s="45">
        <v>485183.4</v>
      </c>
      <c r="AS223" s="45">
        <v>485416.1</v>
      </c>
    </row>
    <row r="224" spans="1:45" x14ac:dyDescent="0.2">
      <c r="A224" s="4" t="s">
        <v>295</v>
      </c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6"/>
      <c r="AN224" s="46"/>
      <c r="AO224" s="46"/>
      <c r="AP224" s="45"/>
      <c r="AQ224" s="45"/>
      <c r="AR224" s="45"/>
      <c r="AS224" s="45">
        <v>485045.9</v>
      </c>
    </row>
    <row r="225" spans="1:42" x14ac:dyDescent="0.2">
      <c r="A225" s="4" t="s">
        <v>296</v>
      </c>
    </row>
    <row r="226" spans="1:42" x14ac:dyDescent="0.2">
      <c r="A226" s="4" t="s">
        <v>297</v>
      </c>
    </row>
    <row r="227" spans="1:42" x14ac:dyDescent="0.2">
      <c r="AP227" s="47"/>
    </row>
    <row r="228" spans="1:42" x14ac:dyDescent="0.2">
      <c r="AP228" s="47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summary</vt:lpstr>
      <vt:lpstr>sec79</vt:lpstr>
      <vt:lpstr>sec95</vt:lpstr>
      <vt:lpstr>chainindex</vt:lpstr>
      <vt:lpstr>newbrowser</vt:lpstr>
    </vt:vector>
  </TitlesOfParts>
  <Company>Dept of Economics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Golinelli</dc:creator>
  <cp:lastModifiedBy>dario moni bidin</cp:lastModifiedBy>
  <cp:lastPrinted>2005-02-01T17:20:52Z</cp:lastPrinted>
  <dcterms:created xsi:type="dcterms:W3CDTF">2003-12-23T14:00:35Z</dcterms:created>
  <dcterms:modified xsi:type="dcterms:W3CDTF">2025-09-18T17:40:56Z</dcterms:modified>
</cp:coreProperties>
</file>